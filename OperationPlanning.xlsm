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trlProps/ctrlProp6.xml" ContentType="application/vnd.ms-excel.controlproperties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trlProps/ctrlProp8.xml" ContentType="application/vnd.ms-excel.controlproperties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hak\Documents\ISE 140\Project Final\"/>
    </mc:Choice>
  </mc:AlternateContent>
  <xr:revisionPtr revIDLastSave="0" documentId="13_ncr:1_{6899281F-98A9-45A9-A9CD-4145E31E5822}" xr6:coauthVersionLast="41" xr6:coauthVersionMax="41" xr10:uidLastSave="{00000000-0000-0000-0000-000000000000}"/>
  <bookViews>
    <workbookView xWindow="-120" yWindow="-120" windowWidth="20730" windowHeight="11160" tabRatio="751" activeTab="3" xr2:uid="{672D1DB5-80C1-4279-A5DD-2E62CD88E1FA}"/>
  </bookViews>
  <sheets>
    <sheet name="Forecast Summary" sheetId="1" r:id="rId1"/>
    <sheet name="Cap Planning" sheetId="39" r:id="rId2"/>
    <sheet name="Time per unit" sheetId="38" r:id="rId3"/>
    <sheet name="MRP" sheetId="37" r:id="rId4"/>
    <sheet name="MPS" sheetId="36" r:id="rId5"/>
    <sheet name="Agg Plan Summary" sheetId="30" r:id="rId6"/>
    <sheet name="Agg Plan P1" sheetId="31" r:id="rId7"/>
    <sheet name="Agg Plan P2" sheetId="32" r:id="rId8"/>
    <sheet name="Agg Plan P3" sheetId="33" r:id="rId9"/>
    <sheet name="Agg Plan P4" sheetId="34" r:id="rId10"/>
    <sheet name="Agg Plan P5" sheetId="35" r:id="rId11"/>
    <sheet name="Forecast P1" sheetId="5" r:id="rId12"/>
    <sheet name="Forecast P1 - Trend" sheetId="25" r:id="rId13"/>
    <sheet name="Forecast P2" sheetId="8" r:id="rId14"/>
    <sheet name="Forecast P2 - Trend" sheetId="19" r:id="rId15"/>
    <sheet name="Forecast P2 - Seasonality" sheetId="24" r:id="rId16"/>
    <sheet name="Forecast P2 - Seasonality Trend" sheetId="20" r:id="rId17"/>
    <sheet name="Forecast P3" sheetId="9" r:id="rId18"/>
    <sheet name="Forecast P3 - Trend" sheetId="15" r:id="rId19"/>
    <sheet name="Forecast P3 - Seasonality" sheetId="23" r:id="rId20"/>
    <sheet name="Forecast P3 - Seasonality Trend" sheetId="22" r:id="rId21"/>
    <sheet name="Forecast P4" sheetId="10" r:id="rId22"/>
    <sheet name="Gaussian random walk P4" sheetId="40" r:id="rId23"/>
    <sheet name="Forecast P5" sheetId="14" r:id="rId24"/>
    <sheet name="Forecast P5 - Trend" sheetId="27" r:id="rId25"/>
    <sheet name="Holt Winters Method" sheetId="29" r:id="rId26"/>
  </sheets>
  <externalReferences>
    <externalReference r:id="rId27"/>
  </externalReferences>
  <definedNames>
    <definedName name="solver_cvg" localSheetId="12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9" hidden="1">0.0001</definedName>
    <definedName name="solver_cvg" localSheetId="20" hidden="1">0.0001</definedName>
    <definedName name="solver_cvg" localSheetId="18" hidden="1">0.0001</definedName>
    <definedName name="solver_cvg" localSheetId="24" hidden="1">0.0001</definedName>
    <definedName name="solver_drv" localSheetId="12" hidden="1">2</definedName>
    <definedName name="solver_drv" localSheetId="15" hidden="1">2</definedName>
    <definedName name="solver_drv" localSheetId="16" hidden="1">2</definedName>
    <definedName name="solver_drv" localSheetId="14" hidden="1">2</definedName>
    <definedName name="solver_drv" localSheetId="19" hidden="1">2</definedName>
    <definedName name="solver_drv" localSheetId="20" hidden="1">2</definedName>
    <definedName name="solver_drv" localSheetId="18" hidden="1">2</definedName>
    <definedName name="solver_drv" localSheetId="24" hidden="1">2</definedName>
    <definedName name="solver_eng" localSheetId="12" hidden="1">1</definedName>
    <definedName name="solver_eng" localSheetId="15" hidden="1">1</definedName>
    <definedName name="solver_eng" localSheetId="16" hidden="1">1</definedName>
    <definedName name="solver_eng" localSheetId="14" hidden="1">1</definedName>
    <definedName name="solver_eng" localSheetId="19" hidden="1">1</definedName>
    <definedName name="solver_eng" localSheetId="20" hidden="1">1</definedName>
    <definedName name="solver_eng" localSheetId="18" hidden="1">1</definedName>
    <definedName name="solver_eng" localSheetId="23" hidden="1">1</definedName>
    <definedName name="solver_eng" localSheetId="24" hidden="1">1</definedName>
    <definedName name="solver_est" localSheetId="12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9" hidden="1">1</definedName>
    <definedName name="solver_est" localSheetId="20" hidden="1">1</definedName>
    <definedName name="solver_est" localSheetId="18" hidden="1">1</definedName>
    <definedName name="solver_est" localSheetId="24" hidden="1">1</definedName>
    <definedName name="solver_itr" localSheetId="12" hidden="1">2147483647</definedName>
    <definedName name="solver_itr" localSheetId="15" hidden="1">2147483647</definedName>
    <definedName name="solver_itr" localSheetId="16" hidden="1">2147483647</definedName>
    <definedName name="solver_itr" localSheetId="14" hidden="1">2147483647</definedName>
    <definedName name="solver_itr" localSheetId="19" hidden="1">2147483647</definedName>
    <definedName name="solver_itr" localSheetId="20" hidden="1">2147483647</definedName>
    <definedName name="solver_itr" localSheetId="18" hidden="1">2147483647</definedName>
    <definedName name="solver_itr" localSheetId="24" hidden="1">2147483647</definedName>
    <definedName name="solver_lhs0" localSheetId="12" hidden="1">'Forecast P1 - Trend'!$D$23</definedName>
    <definedName name="solver_lhs0" localSheetId="15" hidden="1">'Forecast P2 - Seasonality'!$D$23</definedName>
    <definedName name="solver_lhs0" localSheetId="16" hidden="1">'Forecast P2 - Seasonality Trend'!$D$23</definedName>
    <definedName name="solver_lhs0" localSheetId="14" hidden="1">'Forecast P2 - Trend'!$D$23</definedName>
    <definedName name="solver_lhs0" localSheetId="19" hidden="1">'Forecast P3 - Seasonality'!$D$23</definedName>
    <definedName name="solver_lhs0" localSheetId="20" hidden="1">'Forecast P3 - Seasonality Trend'!$D$23</definedName>
    <definedName name="solver_lhs0" localSheetId="18" hidden="1">'Forecast P3 - Trend'!$D$23</definedName>
    <definedName name="solver_lhs0" localSheetId="24" hidden="1">'Forecast P5 - Trend'!$D$23</definedName>
    <definedName name="solver_lhs1" localSheetId="12" hidden="1">'Forecast P1 - Trend'!$C$23</definedName>
    <definedName name="solver_lhs1" localSheetId="15" hidden="1">'Forecast P2 - Seasonality'!$C$23</definedName>
    <definedName name="solver_lhs1" localSheetId="16" hidden="1">'Forecast P2 - Seasonality Trend'!$C$23</definedName>
    <definedName name="solver_lhs1" localSheetId="14" hidden="1">'Forecast P2 - Trend'!$C$23</definedName>
    <definedName name="solver_lhs1" localSheetId="19" hidden="1">'Forecast P3 - Seasonality'!$C$23</definedName>
    <definedName name="solver_lhs1" localSheetId="20" hidden="1">'Forecast P3 - Seasonality Trend'!$C$23</definedName>
    <definedName name="solver_lhs1" localSheetId="18" hidden="1">'Forecast P3 - Trend'!$C$23</definedName>
    <definedName name="solver_lhs1" localSheetId="24" hidden="1">'Forecast P5 - Trend'!$C$23</definedName>
    <definedName name="solver_lhs2" localSheetId="12" hidden="1">'Forecast P1 - Trend'!$C$23</definedName>
    <definedName name="solver_lhs2" localSheetId="15" hidden="1">'Forecast P2 - Seasonality'!$C$23</definedName>
    <definedName name="solver_lhs2" localSheetId="16" hidden="1">'Forecast P2 - Seasonality Trend'!$C$23</definedName>
    <definedName name="solver_lhs2" localSheetId="14" hidden="1">'Forecast P2 - Trend'!$C$23</definedName>
    <definedName name="solver_lhs2" localSheetId="19" hidden="1">'Forecast P3 - Seasonality'!$C$23</definedName>
    <definedName name="solver_lhs2" localSheetId="20" hidden="1">'Forecast P3 - Seasonality Trend'!$C$23</definedName>
    <definedName name="solver_lhs2" localSheetId="18" hidden="1">'Forecast P3 - Trend'!$C$23</definedName>
    <definedName name="solver_lhs2" localSheetId="24" hidden="1">'Forecast P5 - Trend'!$C$23</definedName>
    <definedName name="solver_lhs3" localSheetId="12" hidden="1">'Forecast P1 - Trend'!$D$23</definedName>
    <definedName name="solver_lhs3" localSheetId="15" hidden="1">'Forecast P2 - Seasonality'!$D$23</definedName>
    <definedName name="solver_lhs3" localSheetId="16" hidden="1">'Forecast P2 - Seasonality Trend'!$D$23</definedName>
    <definedName name="solver_lhs3" localSheetId="14" hidden="1">'Forecast P2 - Trend'!$D$23</definedName>
    <definedName name="solver_lhs3" localSheetId="19" hidden="1">'Forecast P3 - Seasonality'!$D$23</definedName>
    <definedName name="solver_lhs3" localSheetId="20" hidden="1">'Forecast P3 - Seasonality Trend'!$D$23</definedName>
    <definedName name="solver_lhs3" localSheetId="18" hidden="1">'Forecast P3 - Trend'!$D$23</definedName>
    <definedName name="solver_lhs3" localSheetId="24" hidden="1">'Forecast P5 - Trend'!$D$23</definedName>
    <definedName name="solver_lhs4" localSheetId="12" hidden="1">'Forecast P1 - Trend'!$D$23</definedName>
    <definedName name="solver_lhs4" localSheetId="15" hidden="1">'Forecast P2 - Seasonality'!$D$23</definedName>
    <definedName name="solver_lhs4" localSheetId="16" hidden="1">'Forecast P2 - Seasonality Trend'!$D$23</definedName>
    <definedName name="solver_lhs4" localSheetId="14" hidden="1">'Forecast P2 - Trend'!$D$23</definedName>
    <definedName name="solver_lhs4" localSheetId="19" hidden="1">'Forecast P3 - Seasonality'!$D$23</definedName>
    <definedName name="solver_lhs4" localSheetId="20" hidden="1">'Forecast P3 - Seasonality Trend'!$D$23</definedName>
    <definedName name="solver_lhs4" localSheetId="18" hidden="1">'Forecast P3 - Trend'!$D$23</definedName>
    <definedName name="solver_lhs4" localSheetId="24" hidden="1">'Forecast P5 - Trend'!$D$23</definedName>
    <definedName name="solver_lhs5" localSheetId="12" hidden="1">'Forecast P1 - Trend'!$D$23</definedName>
    <definedName name="solver_lhs5" localSheetId="15" hidden="1">'Forecast P2 - Seasonality'!$D$23</definedName>
    <definedName name="solver_lhs5" localSheetId="16" hidden="1">'Forecast P2 - Seasonality Trend'!$D$23</definedName>
    <definedName name="solver_lhs5" localSheetId="14" hidden="1">'Forecast P2 - Trend'!$D$23</definedName>
    <definedName name="solver_lhs5" localSheetId="19" hidden="1">'Forecast P3 - Seasonality'!$D$23</definedName>
    <definedName name="solver_lhs5" localSheetId="20" hidden="1">'Forecast P3 - Seasonality Trend'!$D$23</definedName>
    <definedName name="solver_lhs5" localSheetId="18" hidden="1">'Forecast P3 - Trend'!$D$23</definedName>
    <definedName name="solver_lhs5" localSheetId="24" hidden="1">'Forecast P5 - Trend'!$D$23</definedName>
    <definedName name="solver_mip" localSheetId="12" hidden="1">2147483647</definedName>
    <definedName name="solver_mip" localSheetId="15" hidden="1">2147483647</definedName>
    <definedName name="solver_mip" localSheetId="16" hidden="1">2147483647</definedName>
    <definedName name="solver_mip" localSheetId="14" hidden="1">2147483647</definedName>
    <definedName name="solver_mip" localSheetId="19" hidden="1">2147483647</definedName>
    <definedName name="solver_mip" localSheetId="20" hidden="1">2147483647</definedName>
    <definedName name="solver_mip" localSheetId="18" hidden="1">2147483647</definedName>
    <definedName name="solver_mip" localSheetId="24" hidden="1">2147483647</definedName>
    <definedName name="solver_mni" localSheetId="12" hidden="1">30</definedName>
    <definedName name="solver_mni" localSheetId="15" hidden="1">30</definedName>
    <definedName name="solver_mni" localSheetId="16" hidden="1">30</definedName>
    <definedName name="solver_mni" localSheetId="14" hidden="1">30</definedName>
    <definedName name="solver_mni" localSheetId="19" hidden="1">30</definedName>
    <definedName name="solver_mni" localSheetId="20" hidden="1">30</definedName>
    <definedName name="solver_mni" localSheetId="18" hidden="1">30</definedName>
    <definedName name="solver_mni" localSheetId="24" hidden="1">30</definedName>
    <definedName name="solver_mrt" localSheetId="12" hidden="1">0.075</definedName>
    <definedName name="solver_mrt" localSheetId="15" hidden="1">0.075</definedName>
    <definedName name="solver_mrt" localSheetId="16" hidden="1">0.075</definedName>
    <definedName name="solver_mrt" localSheetId="14" hidden="1">0.075</definedName>
    <definedName name="solver_mrt" localSheetId="19" hidden="1">0.075</definedName>
    <definedName name="solver_mrt" localSheetId="20" hidden="1">0.075</definedName>
    <definedName name="solver_mrt" localSheetId="18" hidden="1">0.075</definedName>
    <definedName name="solver_mrt" localSheetId="24" hidden="1">0.075</definedName>
    <definedName name="solver_msl" localSheetId="12" hidden="1">2</definedName>
    <definedName name="solver_msl" localSheetId="15" hidden="1">2</definedName>
    <definedName name="solver_msl" localSheetId="16" hidden="1">2</definedName>
    <definedName name="solver_msl" localSheetId="14" hidden="1">2</definedName>
    <definedName name="solver_msl" localSheetId="19" hidden="1">2</definedName>
    <definedName name="solver_msl" localSheetId="20" hidden="1">2</definedName>
    <definedName name="solver_msl" localSheetId="18" hidden="1">2</definedName>
    <definedName name="solver_msl" localSheetId="24" hidden="1">2</definedName>
    <definedName name="solver_neg" localSheetId="12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9" hidden="1">1</definedName>
    <definedName name="solver_neg" localSheetId="20" hidden="1">1</definedName>
    <definedName name="solver_neg" localSheetId="18" hidden="1">1</definedName>
    <definedName name="solver_neg" localSheetId="23" hidden="1">1</definedName>
    <definedName name="solver_neg" localSheetId="24" hidden="1">1</definedName>
    <definedName name="solver_nod" localSheetId="12" hidden="1">2147483647</definedName>
    <definedName name="solver_nod" localSheetId="15" hidden="1">2147483647</definedName>
    <definedName name="solver_nod" localSheetId="16" hidden="1">2147483647</definedName>
    <definedName name="solver_nod" localSheetId="14" hidden="1">2147483647</definedName>
    <definedName name="solver_nod" localSheetId="19" hidden="1">2147483647</definedName>
    <definedName name="solver_nod" localSheetId="20" hidden="1">2147483647</definedName>
    <definedName name="solver_nod" localSheetId="18" hidden="1">2147483647</definedName>
    <definedName name="solver_nod" localSheetId="24" hidden="1">2147483647</definedName>
    <definedName name="solver_num" localSheetId="12" hidden="1">0</definedName>
    <definedName name="solver_num" localSheetId="15" hidden="1">0</definedName>
    <definedName name="solver_num" localSheetId="16" hidden="1">0</definedName>
    <definedName name="solver_num" localSheetId="14" hidden="1">0</definedName>
    <definedName name="solver_num" localSheetId="19" hidden="1">0</definedName>
    <definedName name="solver_num" localSheetId="20" hidden="1">0</definedName>
    <definedName name="solver_num" localSheetId="18" hidden="1">0</definedName>
    <definedName name="solver_num" localSheetId="23" hidden="1">1</definedName>
    <definedName name="solver_num" localSheetId="24" hidden="1">0</definedName>
    <definedName name="solver_nwt" localSheetId="12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9" hidden="1">1</definedName>
    <definedName name="solver_nwt" localSheetId="20" hidden="1">1</definedName>
    <definedName name="solver_nwt" localSheetId="18" hidden="1">1</definedName>
    <definedName name="solver_nwt" localSheetId="24" hidden="1">1</definedName>
    <definedName name="solver_pre" localSheetId="12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9" hidden="1">0.000001</definedName>
    <definedName name="solver_pre" localSheetId="20" hidden="1">0.000001</definedName>
    <definedName name="solver_pre" localSheetId="18" hidden="1">0.000001</definedName>
    <definedName name="solver_pre" localSheetId="24" hidden="1">0.000001</definedName>
    <definedName name="solver_rbv" localSheetId="12" hidden="1">2</definedName>
    <definedName name="solver_rbv" localSheetId="15" hidden="1">2</definedName>
    <definedName name="solver_rbv" localSheetId="16" hidden="1">2</definedName>
    <definedName name="solver_rbv" localSheetId="14" hidden="1">2</definedName>
    <definedName name="solver_rbv" localSheetId="19" hidden="1">2</definedName>
    <definedName name="solver_rbv" localSheetId="20" hidden="1">2</definedName>
    <definedName name="solver_rbv" localSheetId="18" hidden="1">2</definedName>
    <definedName name="solver_rbv" localSheetId="24" hidden="1">2</definedName>
    <definedName name="solver_rel0" localSheetId="12" hidden="1">3</definedName>
    <definedName name="solver_rel0" localSheetId="15" hidden="1">3</definedName>
    <definedName name="solver_rel0" localSheetId="16" hidden="1">3</definedName>
    <definedName name="solver_rel0" localSheetId="14" hidden="1">3</definedName>
    <definedName name="solver_rel0" localSheetId="19" hidden="1">3</definedName>
    <definedName name="solver_rel0" localSheetId="20" hidden="1">3</definedName>
    <definedName name="solver_rel0" localSheetId="18" hidden="1">3</definedName>
    <definedName name="solver_rel0" localSheetId="24" hidden="1">3</definedName>
    <definedName name="solver_rel1" localSheetId="12" hidden="1">1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9" hidden="1">1</definedName>
    <definedName name="solver_rel1" localSheetId="20" hidden="1">1</definedName>
    <definedName name="solver_rel1" localSheetId="18" hidden="1">1</definedName>
    <definedName name="solver_rel1" localSheetId="24" hidden="1">1</definedName>
    <definedName name="solver_rel2" localSheetId="12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9" hidden="1">3</definedName>
    <definedName name="solver_rel2" localSheetId="20" hidden="1">3</definedName>
    <definedName name="solver_rel2" localSheetId="18" hidden="1">3</definedName>
    <definedName name="solver_rel2" localSheetId="24" hidden="1">3</definedName>
    <definedName name="solver_rel3" localSheetId="12" hidden="1">1</definedName>
    <definedName name="solver_rel3" localSheetId="15" hidden="1">1</definedName>
    <definedName name="solver_rel3" localSheetId="16" hidden="1">1</definedName>
    <definedName name="solver_rel3" localSheetId="14" hidden="1">1</definedName>
    <definedName name="solver_rel3" localSheetId="19" hidden="1">1</definedName>
    <definedName name="solver_rel3" localSheetId="20" hidden="1">1</definedName>
    <definedName name="solver_rel3" localSheetId="18" hidden="1">1</definedName>
    <definedName name="solver_rel3" localSheetId="24" hidden="1">1</definedName>
    <definedName name="solver_rel4" localSheetId="12" hidden="1">3</definedName>
    <definedName name="solver_rel4" localSheetId="15" hidden="1">3</definedName>
    <definedName name="solver_rel4" localSheetId="16" hidden="1">3</definedName>
    <definedName name="solver_rel4" localSheetId="14" hidden="1">3</definedName>
    <definedName name="solver_rel4" localSheetId="19" hidden="1">3</definedName>
    <definedName name="solver_rel4" localSheetId="20" hidden="1">3</definedName>
    <definedName name="solver_rel4" localSheetId="18" hidden="1">3</definedName>
    <definedName name="solver_rel4" localSheetId="24" hidden="1">3</definedName>
    <definedName name="solver_rel5" localSheetId="12" hidden="1">3</definedName>
    <definedName name="solver_rel5" localSheetId="15" hidden="1">3</definedName>
    <definedName name="solver_rel5" localSheetId="16" hidden="1">3</definedName>
    <definedName name="solver_rel5" localSheetId="14" hidden="1">3</definedName>
    <definedName name="solver_rel5" localSheetId="19" hidden="1">3</definedName>
    <definedName name="solver_rel5" localSheetId="20" hidden="1">3</definedName>
    <definedName name="solver_rel5" localSheetId="18" hidden="1">3</definedName>
    <definedName name="solver_rel5" localSheetId="24" hidden="1">3</definedName>
    <definedName name="solver_rhs0" localSheetId="12" hidden="1">0</definedName>
    <definedName name="solver_rhs0" localSheetId="15" hidden="1">0</definedName>
    <definedName name="solver_rhs0" localSheetId="16" hidden="1">0</definedName>
    <definedName name="solver_rhs0" localSheetId="14" hidden="1">0</definedName>
    <definedName name="solver_rhs0" localSheetId="19" hidden="1">0</definedName>
    <definedName name="solver_rhs0" localSheetId="20" hidden="1">0</definedName>
    <definedName name="solver_rhs0" localSheetId="18" hidden="1">0</definedName>
    <definedName name="solver_rhs0" localSheetId="24" hidden="1">0</definedName>
    <definedName name="solver_rhs1" localSheetId="12" hidden="1">1</definedName>
    <definedName name="solver_rhs1" localSheetId="15" hidden="1">1</definedName>
    <definedName name="solver_rhs1" localSheetId="16" hidden="1">1</definedName>
    <definedName name="solver_rhs1" localSheetId="14" hidden="1">1</definedName>
    <definedName name="solver_rhs1" localSheetId="19" hidden="1">1</definedName>
    <definedName name="solver_rhs1" localSheetId="20" hidden="1">1</definedName>
    <definedName name="solver_rhs1" localSheetId="18" hidden="1">1</definedName>
    <definedName name="solver_rhs1" localSheetId="24" hidden="1">1</definedName>
    <definedName name="solver_rhs2" localSheetId="12" hidden="1">0</definedName>
    <definedName name="solver_rhs2" localSheetId="15" hidden="1">0</definedName>
    <definedName name="solver_rhs2" localSheetId="16" hidden="1">0</definedName>
    <definedName name="solver_rhs2" localSheetId="14" hidden="1">0</definedName>
    <definedName name="solver_rhs2" localSheetId="19" hidden="1">0</definedName>
    <definedName name="solver_rhs2" localSheetId="20" hidden="1">0</definedName>
    <definedName name="solver_rhs2" localSheetId="18" hidden="1">0</definedName>
    <definedName name="solver_rhs2" localSheetId="24" hidden="1">0</definedName>
    <definedName name="solver_rhs3" localSheetId="12" hidden="1">1</definedName>
    <definedName name="solver_rhs3" localSheetId="15" hidden="1">1</definedName>
    <definedName name="solver_rhs3" localSheetId="16" hidden="1">1</definedName>
    <definedName name="solver_rhs3" localSheetId="14" hidden="1">1</definedName>
    <definedName name="solver_rhs3" localSheetId="19" hidden="1">1</definedName>
    <definedName name="solver_rhs3" localSheetId="20" hidden="1">1</definedName>
    <definedName name="solver_rhs3" localSheetId="18" hidden="1">1</definedName>
    <definedName name="solver_rhs3" localSheetId="24" hidden="1">1</definedName>
    <definedName name="solver_rhs4" localSheetId="12" hidden="1">0</definedName>
    <definedName name="solver_rhs4" localSheetId="15" hidden="1">0</definedName>
    <definedName name="solver_rhs4" localSheetId="16" hidden="1">0</definedName>
    <definedName name="solver_rhs4" localSheetId="14" hidden="1">0</definedName>
    <definedName name="solver_rhs4" localSheetId="19" hidden="1">0</definedName>
    <definedName name="solver_rhs4" localSheetId="20" hidden="1">0</definedName>
    <definedName name="solver_rhs4" localSheetId="18" hidden="1">0</definedName>
    <definedName name="solver_rhs4" localSheetId="24" hidden="1">0</definedName>
    <definedName name="solver_rhs5" localSheetId="12" hidden="1">0</definedName>
    <definedName name="solver_rhs5" localSheetId="15" hidden="1">0</definedName>
    <definedName name="solver_rhs5" localSheetId="16" hidden="1">0</definedName>
    <definedName name="solver_rhs5" localSheetId="14" hidden="1">0</definedName>
    <definedName name="solver_rhs5" localSheetId="19" hidden="1">0</definedName>
    <definedName name="solver_rhs5" localSheetId="20" hidden="1">0</definedName>
    <definedName name="solver_rhs5" localSheetId="18" hidden="1">0</definedName>
    <definedName name="solver_rhs5" localSheetId="24" hidden="1">0</definedName>
    <definedName name="solver_rlx" localSheetId="12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9" hidden="1">2</definedName>
    <definedName name="solver_rlx" localSheetId="20" hidden="1">2</definedName>
    <definedName name="solver_rlx" localSheetId="18" hidden="1">2</definedName>
    <definedName name="solver_rlx" localSheetId="24" hidden="1">2</definedName>
    <definedName name="solver_rsd" localSheetId="12" hidden="1">0</definedName>
    <definedName name="solver_rsd" localSheetId="15" hidden="1">0</definedName>
    <definedName name="solver_rsd" localSheetId="16" hidden="1">0</definedName>
    <definedName name="solver_rsd" localSheetId="14" hidden="1">0</definedName>
    <definedName name="solver_rsd" localSheetId="19" hidden="1">0</definedName>
    <definedName name="solver_rsd" localSheetId="20" hidden="1">0</definedName>
    <definedName name="solver_rsd" localSheetId="18" hidden="1">0</definedName>
    <definedName name="solver_rsd" localSheetId="24" hidden="1">0</definedName>
    <definedName name="solver_scl" localSheetId="12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9" hidden="1">2</definedName>
    <definedName name="solver_scl" localSheetId="20" hidden="1">2</definedName>
    <definedName name="solver_scl" localSheetId="18" hidden="1">2</definedName>
    <definedName name="solver_scl" localSheetId="24" hidden="1">2</definedName>
    <definedName name="solver_sho" localSheetId="12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9" hidden="1">2</definedName>
    <definedName name="solver_sho" localSheetId="20" hidden="1">2</definedName>
    <definedName name="solver_sho" localSheetId="18" hidden="1">2</definedName>
    <definedName name="solver_sho" localSheetId="24" hidden="1">2</definedName>
    <definedName name="solver_ssz" localSheetId="12" hidden="1">100</definedName>
    <definedName name="solver_ssz" localSheetId="15" hidden="1">100</definedName>
    <definedName name="solver_ssz" localSheetId="16" hidden="1">100</definedName>
    <definedName name="solver_ssz" localSheetId="14" hidden="1">100</definedName>
    <definedName name="solver_ssz" localSheetId="19" hidden="1">100</definedName>
    <definedName name="solver_ssz" localSheetId="20" hidden="1">100</definedName>
    <definedName name="solver_ssz" localSheetId="18" hidden="1">100</definedName>
    <definedName name="solver_ssz" localSheetId="24" hidden="1">100</definedName>
    <definedName name="solver_tim" localSheetId="12" hidden="1">2147483647</definedName>
    <definedName name="solver_tim" localSheetId="15" hidden="1">2147483647</definedName>
    <definedName name="solver_tim" localSheetId="16" hidden="1">2147483647</definedName>
    <definedName name="solver_tim" localSheetId="14" hidden="1">2147483647</definedName>
    <definedName name="solver_tim" localSheetId="19" hidden="1">2147483647</definedName>
    <definedName name="solver_tim" localSheetId="20" hidden="1">2147483647</definedName>
    <definedName name="solver_tim" localSheetId="18" hidden="1">2147483647</definedName>
    <definedName name="solver_tim" localSheetId="24" hidden="1">2147483647</definedName>
    <definedName name="solver_tol" localSheetId="12" hidden="1">0.01</definedName>
    <definedName name="solver_tol" localSheetId="15" hidden="1">0.01</definedName>
    <definedName name="solver_tol" localSheetId="16" hidden="1">0.01</definedName>
    <definedName name="solver_tol" localSheetId="14" hidden="1">0.01</definedName>
    <definedName name="solver_tol" localSheetId="19" hidden="1">0.01</definedName>
    <definedName name="solver_tol" localSheetId="20" hidden="1">0.01</definedName>
    <definedName name="solver_tol" localSheetId="18" hidden="1">0.01</definedName>
    <definedName name="solver_tol" localSheetId="24" hidden="1">0.01</definedName>
    <definedName name="solver_typ" localSheetId="11" hidden="1">2</definedName>
    <definedName name="solver_typ" localSheetId="12" hidden="1">1</definedName>
    <definedName name="solver_typ" localSheetId="13" hidden="1">2</definedName>
    <definedName name="solver_typ" localSheetId="15" hidden="1">1</definedName>
    <definedName name="solver_typ" localSheetId="16" hidden="1">1</definedName>
    <definedName name="solver_typ" localSheetId="14" hidden="1">1</definedName>
    <definedName name="solver_typ" localSheetId="17" hidden="1">2</definedName>
    <definedName name="solver_typ" localSheetId="19" hidden="1">1</definedName>
    <definedName name="solver_typ" localSheetId="20" hidden="1">1</definedName>
    <definedName name="solver_typ" localSheetId="18" hidden="1">1</definedName>
    <definedName name="solver_typ" localSheetId="21" hidden="1">2</definedName>
    <definedName name="solver_typ" localSheetId="23" hidden="1">2</definedName>
    <definedName name="solver_typ" localSheetId="24" hidden="1">1</definedName>
    <definedName name="solver_val" localSheetId="12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9" hidden="1">0</definedName>
    <definedName name="solver_val" localSheetId="20" hidden="1">0</definedName>
    <definedName name="solver_val" localSheetId="18" hidden="1">0</definedName>
    <definedName name="solver_val" localSheetId="23" hidden="1">0</definedName>
    <definedName name="solver_val" localSheetId="24" hidden="1">0</definedName>
    <definedName name="solver_ver" localSheetId="11" hidden="1">17</definedName>
    <definedName name="solver_ver" localSheetId="12" hidden="1">3</definedName>
    <definedName name="solver_ver" localSheetId="13" hidden="1">17</definedName>
    <definedName name="solver_ver" localSheetId="15" hidden="1">3</definedName>
    <definedName name="solver_ver" localSheetId="16" hidden="1">3</definedName>
    <definedName name="solver_ver" localSheetId="14" hidden="1">3</definedName>
    <definedName name="solver_ver" localSheetId="17" hidden="1">17</definedName>
    <definedName name="solver_ver" localSheetId="19" hidden="1">3</definedName>
    <definedName name="solver_ver" localSheetId="20" hidden="1">3</definedName>
    <definedName name="solver_ver" localSheetId="18" hidden="1">3</definedName>
    <definedName name="solver_ver" localSheetId="21" hidden="1">17</definedName>
    <definedName name="solver_ver" localSheetId="23" hidden="1">3</definedName>
    <definedName name="solver_ver" localSheetId="2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1" i="39" l="1"/>
  <c r="Q19" i="39"/>
  <c r="Q17" i="39"/>
  <c r="H15" i="39"/>
  <c r="H16" i="39"/>
  <c r="H17" i="39"/>
  <c r="H18" i="39"/>
  <c r="H19" i="39"/>
  <c r="H20" i="39"/>
  <c r="H14" i="39"/>
  <c r="I25" i="39"/>
  <c r="I26" i="39"/>
  <c r="I27" i="39"/>
  <c r="I28" i="39"/>
  <c r="I29" i="39"/>
  <c r="I30" i="39"/>
  <c r="I24" i="39"/>
  <c r="M21" i="29" l="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E7" i="29"/>
  <c r="F6" i="29"/>
  <c r="G6" i="29" s="1"/>
  <c r="E6" i="29"/>
  <c r="D6" i="29"/>
  <c r="E5" i="29"/>
  <c r="E4" i="29"/>
  <c r="E3" i="29"/>
  <c r="C7" i="29" s="1"/>
  <c r="D7" i="29" s="1"/>
  <c r="E2" i="29"/>
  <c r="C6" i="29" s="1"/>
  <c r="C33" i="40"/>
  <c r="C21" i="40"/>
  <c r="C20" i="40"/>
  <c r="C19" i="40"/>
  <c r="C18" i="40"/>
  <c r="C17" i="40"/>
  <c r="C16" i="40"/>
  <c r="C15" i="40"/>
  <c r="C14" i="40"/>
  <c r="C13" i="40"/>
  <c r="C12" i="40"/>
  <c r="C11" i="40"/>
  <c r="C10" i="40"/>
  <c r="C9" i="40"/>
  <c r="C8" i="40"/>
  <c r="C7" i="40"/>
  <c r="C6" i="40"/>
  <c r="C5" i="40"/>
  <c r="C4" i="40"/>
  <c r="C29" i="40" s="1"/>
  <c r="C3" i="40"/>
  <c r="D49" i="27"/>
  <c r="E35" i="27"/>
  <c r="H34" i="27"/>
  <c r="G34" i="27"/>
  <c r="G24" i="27"/>
  <c r="H24" i="27" s="1"/>
  <c r="F24" i="27"/>
  <c r="E24" i="27"/>
  <c r="F61" i="14"/>
  <c r="V60" i="14"/>
  <c r="U60" i="14"/>
  <c r="U61" i="14" s="1"/>
  <c r="I60" i="14"/>
  <c r="A60" i="14"/>
  <c r="Q59" i="14"/>
  <c r="M59" i="14"/>
  <c r="I59" i="14"/>
  <c r="J59" i="14" s="1"/>
  <c r="F59" i="14"/>
  <c r="X58" i="14"/>
  <c r="W58" i="14"/>
  <c r="W59" i="14" s="1"/>
  <c r="V58" i="14"/>
  <c r="U58" i="14"/>
  <c r="U59" i="14" s="1"/>
  <c r="V59" i="14" s="1"/>
  <c r="T58" i="14"/>
  <c r="S58" i="14"/>
  <c r="S59" i="14" s="1"/>
  <c r="R58" i="14"/>
  <c r="Q58" i="14"/>
  <c r="P58" i="14"/>
  <c r="O58" i="14"/>
  <c r="O59" i="14" s="1"/>
  <c r="N58" i="14"/>
  <c r="M58" i="14"/>
  <c r="L58" i="14"/>
  <c r="K58" i="14"/>
  <c r="K59" i="14" s="1"/>
  <c r="J58" i="14"/>
  <c r="I58" i="14"/>
  <c r="H58" i="14"/>
  <c r="G58" i="14"/>
  <c r="G59" i="14" s="1"/>
  <c r="F58" i="14"/>
  <c r="E58" i="14"/>
  <c r="E59" i="14" s="1"/>
  <c r="E60" i="14" s="1"/>
  <c r="E61" i="14" s="1"/>
  <c r="E62" i="14" s="1"/>
  <c r="D58" i="14"/>
  <c r="C58" i="14"/>
  <c r="C59" i="14" s="1"/>
  <c r="B58" i="14"/>
  <c r="A58" i="14"/>
  <c r="A59" i="14" s="1"/>
  <c r="B59" i="14" s="1"/>
  <c r="B49" i="14"/>
  <c r="L43" i="14"/>
  <c r="K43" i="14"/>
  <c r="I43" i="14"/>
  <c r="J43" i="14" s="1"/>
  <c r="H43" i="14"/>
  <c r="G43" i="14"/>
  <c r="E43" i="14"/>
  <c r="F43" i="14" s="1"/>
  <c r="D43" i="14"/>
  <c r="C43" i="14"/>
  <c r="K42" i="14"/>
  <c r="L42" i="14" s="1"/>
  <c r="J42" i="14"/>
  <c r="I42" i="14"/>
  <c r="G42" i="14"/>
  <c r="H42" i="14" s="1"/>
  <c r="F42" i="14"/>
  <c r="E42" i="14"/>
  <c r="C42" i="14"/>
  <c r="D42" i="14" s="1"/>
  <c r="L41" i="14"/>
  <c r="K41" i="14"/>
  <c r="I41" i="14"/>
  <c r="J41" i="14" s="1"/>
  <c r="H41" i="14"/>
  <c r="G41" i="14"/>
  <c r="E41" i="14"/>
  <c r="F41" i="14" s="1"/>
  <c r="D41" i="14"/>
  <c r="C41" i="14"/>
  <c r="K40" i="14"/>
  <c r="L40" i="14" s="1"/>
  <c r="J40" i="14"/>
  <c r="I40" i="14"/>
  <c r="G40" i="14"/>
  <c r="H40" i="14" s="1"/>
  <c r="G45" i="14" s="1"/>
  <c r="F40" i="14"/>
  <c r="E40" i="14"/>
  <c r="C40" i="14"/>
  <c r="D40" i="14" s="1"/>
  <c r="L39" i="14"/>
  <c r="K39" i="14"/>
  <c r="I39" i="14"/>
  <c r="J39" i="14" s="1"/>
  <c r="H39" i="14"/>
  <c r="G39" i="14"/>
  <c r="E39" i="14"/>
  <c r="F39" i="14" s="1"/>
  <c r="D39" i="14"/>
  <c r="C39" i="14"/>
  <c r="K38" i="14"/>
  <c r="L38" i="14" s="1"/>
  <c r="J38" i="14"/>
  <c r="I38" i="14"/>
  <c r="G38" i="14"/>
  <c r="H38" i="14" s="1"/>
  <c r="F38" i="14"/>
  <c r="E38" i="14"/>
  <c r="C38" i="14"/>
  <c r="D38" i="14" s="1"/>
  <c r="L37" i="14"/>
  <c r="K37" i="14"/>
  <c r="I37" i="14"/>
  <c r="J37" i="14" s="1"/>
  <c r="H37" i="14"/>
  <c r="G37" i="14"/>
  <c r="E37" i="14"/>
  <c r="F37" i="14" s="1"/>
  <c r="D37" i="14"/>
  <c r="C37" i="14"/>
  <c r="K36" i="14"/>
  <c r="L36" i="14" s="1"/>
  <c r="J36" i="14"/>
  <c r="I36" i="14"/>
  <c r="G36" i="14"/>
  <c r="H36" i="14" s="1"/>
  <c r="F36" i="14"/>
  <c r="E36" i="14"/>
  <c r="C36" i="14"/>
  <c r="D36" i="14" s="1"/>
  <c r="L35" i="14"/>
  <c r="K35" i="14"/>
  <c r="I35" i="14"/>
  <c r="J35" i="14" s="1"/>
  <c r="H35" i="14"/>
  <c r="G35" i="14"/>
  <c r="E35" i="14"/>
  <c r="F35" i="14" s="1"/>
  <c r="D35" i="14"/>
  <c r="C35" i="14"/>
  <c r="K34" i="14"/>
  <c r="L34" i="14" s="1"/>
  <c r="J34" i="14"/>
  <c r="I34" i="14"/>
  <c r="G34" i="14"/>
  <c r="H34" i="14" s="1"/>
  <c r="F34" i="14"/>
  <c r="E34" i="14"/>
  <c r="C34" i="14"/>
  <c r="D34" i="14" s="1"/>
  <c r="L33" i="14"/>
  <c r="K33" i="14"/>
  <c r="I33" i="14"/>
  <c r="J33" i="14" s="1"/>
  <c r="H33" i="14"/>
  <c r="G33" i="14"/>
  <c r="E33" i="14"/>
  <c r="F33" i="14" s="1"/>
  <c r="D33" i="14"/>
  <c r="C33" i="14"/>
  <c r="K32" i="14"/>
  <c r="L32" i="14" s="1"/>
  <c r="J32" i="14"/>
  <c r="I32" i="14"/>
  <c r="G32" i="14"/>
  <c r="H32" i="14" s="1"/>
  <c r="F32" i="14"/>
  <c r="E32" i="14"/>
  <c r="C32" i="14"/>
  <c r="D32" i="14" s="1"/>
  <c r="J31" i="14"/>
  <c r="I31" i="14"/>
  <c r="G31" i="14"/>
  <c r="H31" i="14" s="1"/>
  <c r="F31" i="14"/>
  <c r="E31" i="14"/>
  <c r="C31" i="14"/>
  <c r="D31" i="14" s="1"/>
  <c r="J30" i="14"/>
  <c r="I30" i="14"/>
  <c r="G30" i="14"/>
  <c r="H30" i="14" s="1"/>
  <c r="F30" i="14"/>
  <c r="E30" i="14"/>
  <c r="C30" i="14"/>
  <c r="D30" i="14" s="1"/>
  <c r="H29" i="14"/>
  <c r="G29" i="14"/>
  <c r="E29" i="14"/>
  <c r="F29" i="14" s="1"/>
  <c r="D29" i="14"/>
  <c r="C29" i="14"/>
  <c r="E28" i="14"/>
  <c r="F28" i="14" s="1"/>
  <c r="D28" i="14"/>
  <c r="C28" i="14"/>
  <c r="C27" i="14"/>
  <c r="D27" i="14" s="1"/>
  <c r="D26" i="14"/>
  <c r="C26" i="14"/>
  <c r="B98" i="10"/>
  <c r="C98" i="10" s="1"/>
  <c r="C97" i="10"/>
  <c r="B97" i="10"/>
  <c r="J96" i="10"/>
  <c r="C96" i="10"/>
  <c r="B96" i="10"/>
  <c r="J95" i="10"/>
  <c r="B95" i="10"/>
  <c r="C95" i="10" s="1"/>
  <c r="J94" i="10"/>
  <c r="B94" i="10"/>
  <c r="C94" i="10" s="1"/>
  <c r="J93" i="10"/>
  <c r="J92" i="10"/>
  <c r="J91" i="10"/>
  <c r="K91" i="10" s="1"/>
  <c r="K90" i="10"/>
  <c r="J90" i="10"/>
  <c r="J89" i="10"/>
  <c r="K89" i="10" s="1"/>
  <c r="K88" i="10"/>
  <c r="J88" i="10"/>
  <c r="J87" i="10"/>
  <c r="K87" i="10" s="1"/>
  <c r="K86" i="10"/>
  <c r="J86" i="10"/>
  <c r="J85" i="10"/>
  <c r="K85" i="10" s="1"/>
  <c r="K84" i="10"/>
  <c r="J84" i="10"/>
  <c r="J83" i="10"/>
  <c r="K83" i="10" s="1"/>
  <c r="K82" i="10"/>
  <c r="J82" i="10"/>
  <c r="J81" i="10"/>
  <c r="K81" i="10" s="1"/>
  <c r="K80" i="10"/>
  <c r="J80" i="10"/>
  <c r="J79" i="10"/>
  <c r="K79" i="10" s="1"/>
  <c r="K78" i="10"/>
  <c r="J78" i="10"/>
  <c r="J77" i="10"/>
  <c r="K77" i="10" s="1"/>
  <c r="K76" i="10"/>
  <c r="J76" i="10"/>
  <c r="J75" i="10"/>
  <c r="K75" i="10" s="1"/>
  <c r="K74" i="10"/>
  <c r="J74" i="10"/>
  <c r="J73" i="10"/>
  <c r="K73" i="10" s="1"/>
  <c r="K72" i="10"/>
  <c r="K92" i="10" s="1"/>
  <c r="J72" i="10"/>
  <c r="H43" i="10"/>
  <c r="G43" i="10"/>
  <c r="E43" i="10"/>
  <c r="F43" i="10" s="1"/>
  <c r="D43" i="10"/>
  <c r="C43" i="10"/>
  <c r="H42" i="10"/>
  <c r="G42" i="10"/>
  <c r="F42" i="10"/>
  <c r="E42" i="10"/>
  <c r="D42" i="10"/>
  <c r="C42" i="10"/>
  <c r="H41" i="10"/>
  <c r="G41" i="10"/>
  <c r="E41" i="10"/>
  <c r="F41" i="10" s="1"/>
  <c r="D41" i="10"/>
  <c r="C41" i="10"/>
  <c r="H40" i="10"/>
  <c r="G40" i="10"/>
  <c r="F40" i="10"/>
  <c r="E40" i="10"/>
  <c r="D40" i="10"/>
  <c r="C40" i="10"/>
  <c r="H39" i="10"/>
  <c r="G39" i="10"/>
  <c r="E39" i="10"/>
  <c r="F39" i="10" s="1"/>
  <c r="D39" i="10"/>
  <c r="C39" i="10"/>
  <c r="H38" i="10"/>
  <c r="G38" i="10"/>
  <c r="F38" i="10"/>
  <c r="E38" i="10"/>
  <c r="D38" i="10"/>
  <c r="C38" i="10"/>
  <c r="H37" i="10"/>
  <c r="G37" i="10"/>
  <c r="E37" i="10"/>
  <c r="F37" i="10" s="1"/>
  <c r="D37" i="10"/>
  <c r="C37" i="10"/>
  <c r="H36" i="10"/>
  <c r="G36" i="10"/>
  <c r="F36" i="10"/>
  <c r="E36" i="10"/>
  <c r="D36" i="10"/>
  <c r="C36" i="10"/>
  <c r="H35" i="10"/>
  <c r="G35" i="10"/>
  <c r="E35" i="10"/>
  <c r="F35" i="10" s="1"/>
  <c r="E45" i="10" s="1"/>
  <c r="D35" i="10"/>
  <c r="C35" i="10"/>
  <c r="H34" i="10"/>
  <c r="G34" i="10"/>
  <c r="F34" i="10"/>
  <c r="E34" i="10"/>
  <c r="D34" i="10"/>
  <c r="C34" i="10"/>
  <c r="H33" i="10"/>
  <c r="G33" i="10"/>
  <c r="E33" i="10"/>
  <c r="F33" i="10" s="1"/>
  <c r="D33" i="10"/>
  <c r="C33" i="10"/>
  <c r="H32" i="10"/>
  <c r="G32" i="10"/>
  <c r="F32" i="10"/>
  <c r="E32" i="10"/>
  <c r="D32" i="10"/>
  <c r="C32" i="10"/>
  <c r="H31" i="10"/>
  <c r="G31" i="10"/>
  <c r="E31" i="10"/>
  <c r="F31" i="10" s="1"/>
  <c r="D31" i="10"/>
  <c r="C31" i="10"/>
  <c r="H30" i="10"/>
  <c r="G30" i="10"/>
  <c r="F30" i="10"/>
  <c r="E30" i="10"/>
  <c r="D30" i="10"/>
  <c r="C30" i="10"/>
  <c r="Z29" i="10"/>
  <c r="Y29" i="10"/>
  <c r="Y30" i="10" s="1"/>
  <c r="Y31" i="10" s="1"/>
  <c r="Y32" i="10" s="1"/>
  <c r="U29" i="10"/>
  <c r="I29" i="10"/>
  <c r="I30" i="10" s="1"/>
  <c r="I31" i="10" s="1"/>
  <c r="H29" i="10"/>
  <c r="G29" i="10"/>
  <c r="E29" i="10"/>
  <c r="F29" i="10" s="1"/>
  <c r="E46" i="10" s="1"/>
  <c r="D29" i="10"/>
  <c r="C29" i="10"/>
  <c r="AA28" i="10"/>
  <c r="Z28" i="10"/>
  <c r="V28" i="10"/>
  <c r="O28" i="10"/>
  <c r="J28" i="10"/>
  <c r="F28" i="10"/>
  <c r="E28" i="10"/>
  <c r="D28" i="10"/>
  <c r="C28" i="10"/>
  <c r="AA27" i="10"/>
  <c r="AB27" i="10" s="1"/>
  <c r="W27" i="10"/>
  <c r="W28" i="10" s="1"/>
  <c r="S27" i="10"/>
  <c r="T27" i="10" s="1"/>
  <c r="K27" i="10"/>
  <c r="D27" i="10"/>
  <c r="C46" i="10" s="1"/>
  <c r="C27" i="10"/>
  <c r="AF26" i="10"/>
  <c r="AC26" i="10"/>
  <c r="AB26" i="10"/>
  <c r="Z26" i="10"/>
  <c r="Y26" i="10"/>
  <c r="Y27" i="10" s="1"/>
  <c r="Y28" i="10" s="1"/>
  <c r="X26" i="10"/>
  <c r="V26" i="10"/>
  <c r="U26" i="10"/>
  <c r="U27" i="10" s="1"/>
  <c r="U28" i="10" s="1"/>
  <c r="Q26" i="10"/>
  <c r="P26" i="10"/>
  <c r="M26" i="10"/>
  <c r="L26" i="10"/>
  <c r="J26" i="10"/>
  <c r="I26" i="10"/>
  <c r="I27" i="10" s="1"/>
  <c r="I28" i="10" s="1"/>
  <c r="D26" i="10"/>
  <c r="C26" i="10"/>
  <c r="AF25" i="10"/>
  <c r="AE25" i="10"/>
  <c r="AE26" i="10" s="1"/>
  <c r="AE27" i="10" s="1"/>
  <c r="AE28" i="10" s="1"/>
  <c r="AD25" i="10"/>
  <c r="AC25" i="10"/>
  <c r="AB25" i="10"/>
  <c r="AA25" i="10"/>
  <c r="AA26" i="10" s="1"/>
  <c r="Z25" i="10"/>
  <c r="Y25" i="10"/>
  <c r="X25" i="10"/>
  <c r="W25" i="10"/>
  <c r="W26" i="10" s="1"/>
  <c r="V25" i="10"/>
  <c r="U25" i="10"/>
  <c r="T25" i="10"/>
  <c r="S25" i="10"/>
  <c r="S26" i="10" s="1"/>
  <c r="T26" i="10" s="1"/>
  <c r="R25" i="10"/>
  <c r="Q25" i="10"/>
  <c r="P25" i="10"/>
  <c r="O25" i="10"/>
  <c r="O26" i="10" s="1"/>
  <c r="O27" i="10" s="1"/>
  <c r="P27" i="10" s="1"/>
  <c r="N25" i="10"/>
  <c r="M25" i="10"/>
  <c r="L25" i="10"/>
  <c r="K25" i="10"/>
  <c r="K26" i="10" s="1"/>
  <c r="J25" i="10"/>
  <c r="I25" i="10"/>
  <c r="E49" i="22"/>
  <c r="I28" i="22"/>
  <c r="J28" i="22" s="1"/>
  <c r="F28" i="22"/>
  <c r="H27" i="22"/>
  <c r="G27" i="22"/>
  <c r="F27" i="22"/>
  <c r="H26" i="22"/>
  <c r="H25" i="22"/>
  <c r="H24" i="22"/>
  <c r="D49" i="23"/>
  <c r="F27" i="23"/>
  <c r="E27" i="23"/>
  <c r="F26" i="23"/>
  <c r="F25" i="23"/>
  <c r="F24" i="23"/>
  <c r="E28" i="23" s="1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35" i="15"/>
  <c r="H34" i="15"/>
  <c r="G34" i="15"/>
  <c r="G25" i="15"/>
  <c r="H25" i="15" s="1"/>
  <c r="F25" i="15"/>
  <c r="E25" i="15"/>
  <c r="E26" i="15" s="1"/>
  <c r="G24" i="15"/>
  <c r="H24" i="15" s="1"/>
  <c r="I63" i="9"/>
  <c r="J62" i="9"/>
  <c r="E62" i="9"/>
  <c r="J61" i="9"/>
  <c r="N60" i="9"/>
  <c r="J60" i="9"/>
  <c r="N59" i="9"/>
  <c r="J59" i="9"/>
  <c r="N58" i="9"/>
  <c r="J58" i="9"/>
  <c r="N57" i="9"/>
  <c r="J57" i="9"/>
  <c r="N56" i="9"/>
  <c r="J56" i="9"/>
  <c r="N55" i="9"/>
  <c r="J55" i="9"/>
  <c r="N54" i="9"/>
  <c r="J54" i="9"/>
  <c r="N53" i="9"/>
  <c r="J53" i="9"/>
  <c r="N52" i="9"/>
  <c r="J52" i="9"/>
  <c r="C52" i="9"/>
  <c r="C53" i="9" s="1"/>
  <c r="O51" i="9"/>
  <c r="P51" i="9" s="1"/>
  <c r="N51" i="9"/>
  <c r="M51" i="9"/>
  <c r="M52" i="9" s="1"/>
  <c r="M53" i="9" s="1"/>
  <c r="M54" i="9" s="1"/>
  <c r="M55" i="9" s="1"/>
  <c r="M56" i="9" s="1"/>
  <c r="M57" i="9" s="1"/>
  <c r="M58" i="9" s="1"/>
  <c r="M59" i="9" s="1"/>
  <c r="M60" i="9" s="1"/>
  <c r="M61" i="9" s="1"/>
  <c r="M62" i="9" s="1"/>
  <c r="K51" i="9"/>
  <c r="J51" i="9"/>
  <c r="I51" i="9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G51" i="9"/>
  <c r="F51" i="9"/>
  <c r="E51" i="9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F61" i="9" s="1"/>
  <c r="C51" i="9"/>
  <c r="D51" i="9" s="1"/>
  <c r="B51" i="9"/>
  <c r="A51" i="9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B62" i="9" s="1"/>
  <c r="H43" i="9"/>
  <c r="G43" i="9"/>
  <c r="E43" i="9"/>
  <c r="F43" i="9" s="1"/>
  <c r="D43" i="9"/>
  <c r="C43" i="9"/>
  <c r="G42" i="9"/>
  <c r="H42" i="9" s="1"/>
  <c r="E42" i="9"/>
  <c r="F42" i="9" s="1"/>
  <c r="C42" i="9"/>
  <c r="D42" i="9" s="1"/>
  <c r="G41" i="9"/>
  <c r="H41" i="9" s="1"/>
  <c r="E41" i="9"/>
  <c r="F41" i="9" s="1"/>
  <c r="D41" i="9"/>
  <c r="C41" i="9"/>
  <c r="G40" i="9"/>
  <c r="H40" i="9" s="1"/>
  <c r="F40" i="9"/>
  <c r="E40" i="9"/>
  <c r="C40" i="9"/>
  <c r="D40" i="9" s="1"/>
  <c r="G39" i="9"/>
  <c r="H39" i="9" s="1"/>
  <c r="E39" i="9"/>
  <c r="F39" i="9" s="1"/>
  <c r="C39" i="9"/>
  <c r="D39" i="9" s="1"/>
  <c r="G38" i="9"/>
  <c r="H38" i="9" s="1"/>
  <c r="F38" i="9"/>
  <c r="E38" i="9"/>
  <c r="C38" i="9"/>
  <c r="D38" i="9" s="1"/>
  <c r="H37" i="9"/>
  <c r="G37" i="9"/>
  <c r="E37" i="9"/>
  <c r="F37" i="9" s="1"/>
  <c r="D37" i="9"/>
  <c r="C37" i="9"/>
  <c r="G36" i="9"/>
  <c r="H36" i="9" s="1"/>
  <c r="E36" i="9"/>
  <c r="F36" i="9" s="1"/>
  <c r="C36" i="9"/>
  <c r="D36" i="9" s="1"/>
  <c r="H35" i="9"/>
  <c r="G35" i="9"/>
  <c r="E35" i="9"/>
  <c r="F35" i="9" s="1"/>
  <c r="D35" i="9"/>
  <c r="C45" i="9" s="1"/>
  <c r="C35" i="9"/>
  <c r="G34" i="9"/>
  <c r="H34" i="9" s="1"/>
  <c r="E34" i="9"/>
  <c r="F34" i="9" s="1"/>
  <c r="E46" i="9" s="1"/>
  <c r="C34" i="9"/>
  <c r="D34" i="9" s="1"/>
  <c r="G33" i="9"/>
  <c r="H33" i="9" s="1"/>
  <c r="E33" i="9"/>
  <c r="F33" i="9" s="1"/>
  <c r="D33" i="9"/>
  <c r="C33" i="9"/>
  <c r="G32" i="9"/>
  <c r="H32" i="9" s="1"/>
  <c r="F32" i="9"/>
  <c r="E32" i="9"/>
  <c r="C32" i="9"/>
  <c r="D32" i="9" s="1"/>
  <c r="G31" i="9"/>
  <c r="H31" i="9" s="1"/>
  <c r="E31" i="9"/>
  <c r="F31" i="9" s="1"/>
  <c r="C31" i="9"/>
  <c r="D31" i="9" s="1"/>
  <c r="G30" i="9"/>
  <c r="H30" i="9" s="1"/>
  <c r="F30" i="9"/>
  <c r="E30" i="9"/>
  <c r="C30" i="9"/>
  <c r="D30" i="9" s="1"/>
  <c r="H29" i="9"/>
  <c r="G29" i="9"/>
  <c r="E29" i="9"/>
  <c r="F29" i="9" s="1"/>
  <c r="C29" i="9"/>
  <c r="D29" i="9" s="1"/>
  <c r="E28" i="9"/>
  <c r="F28" i="9" s="1"/>
  <c r="C28" i="9"/>
  <c r="D28" i="9" s="1"/>
  <c r="C27" i="9"/>
  <c r="D27" i="9" s="1"/>
  <c r="D26" i="9"/>
  <c r="C26" i="9"/>
  <c r="E49" i="20"/>
  <c r="I33" i="20"/>
  <c r="J33" i="20" s="1"/>
  <c r="H32" i="20"/>
  <c r="G32" i="20"/>
  <c r="F32" i="20"/>
  <c r="H31" i="20"/>
  <c r="H30" i="20"/>
  <c r="H29" i="20"/>
  <c r="H28" i="20"/>
  <c r="H27" i="20"/>
  <c r="H26" i="20"/>
  <c r="H25" i="20"/>
  <c r="H24" i="20"/>
  <c r="D49" i="24"/>
  <c r="G33" i="24"/>
  <c r="H33" i="24" s="1"/>
  <c r="F32" i="24"/>
  <c r="E32" i="24"/>
  <c r="F30" i="24"/>
  <c r="F29" i="24"/>
  <c r="E33" i="24" s="1"/>
  <c r="F28" i="24"/>
  <c r="F26" i="24"/>
  <c r="F25" i="24"/>
  <c r="F24" i="24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F35" i="19"/>
  <c r="E35" i="19"/>
  <c r="H34" i="19"/>
  <c r="G34" i="19"/>
  <c r="H25" i="19"/>
  <c r="G25" i="19"/>
  <c r="F25" i="19"/>
  <c r="E25" i="19"/>
  <c r="E26" i="19" s="1"/>
  <c r="F26" i="19" s="1"/>
  <c r="H24" i="19"/>
  <c r="G24" i="19"/>
  <c r="AM54" i="8"/>
  <c r="AM55" i="8" s="1"/>
  <c r="AN55" i="8" s="1"/>
  <c r="AE54" i="8"/>
  <c r="AE55" i="8" s="1"/>
  <c r="AF55" i="8" s="1"/>
  <c r="W54" i="8"/>
  <c r="W55" i="8" s="1"/>
  <c r="X55" i="8" s="1"/>
  <c r="O54" i="8"/>
  <c r="O55" i="8" s="1"/>
  <c r="P55" i="8" s="1"/>
  <c r="G54" i="8"/>
  <c r="G55" i="8" s="1"/>
  <c r="H55" i="8" s="1"/>
  <c r="AN52" i="8"/>
  <c r="AM52" i="8"/>
  <c r="AM53" i="8" s="1"/>
  <c r="AN53" i="8" s="1"/>
  <c r="AI52" i="8"/>
  <c r="AI53" i="8" s="1"/>
  <c r="AJ53" i="8" s="1"/>
  <c r="AF52" i="8"/>
  <c r="AE52" i="8"/>
  <c r="AE53" i="8" s="1"/>
  <c r="AF53" i="8" s="1"/>
  <c r="AA52" i="8"/>
  <c r="AA53" i="8" s="1"/>
  <c r="AB53" i="8" s="1"/>
  <c r="X52" i="8"/>
  <c r="W52" i="8"/>
  <c r="W53" i="8" s="1"/>
  <c r="X53" i="8" s="1"/>
  <c r="S52" i="8"/>
  <c r="S53" i="8" s="1"/>
  <c r="T53" i="8" s="1"/>
  <c r="P52" i="8"/>
  <c r="O52" i="8"/>
  <c r="O53" i="8" s="1"/>
  <c r="P53" i="8" s="1"/>
  <c r="K52" i="8"/>
  <c r="K53" i="8" s="1"/>
  <c r="L53" i="8" s="1"/>
  <c r="H52" i="8"/>
  <c r="G52" i="8"/>
  <c r="G53" i="8" s="1"/>
  <c r="H53" i="8" s="1"/>
  <c r="C52" i="8"/>
  <c r="C53" i="8" s="1"/>
  <c r="D53" i="8" s="1"/>
  <c r="AN51" i="8"/>
  <c r="AM51" i="8"/>
  <c r="AK51" i="8"/>
  <c r="AK52" i="8" s="1"/>
  <c r="AL52" i="8" s="1"/>
  <c r="AJ51" i="8"/>
  <c r="AI51" i="8"/>
  <c r="AG51" i="8"/>
  <c r="AG52" i="8" s="1"/>
  <c r="AH52" i="8" s="1"/>
  <c r="AF51" i="8"/>
  <c r="AE51" i="8"/>
  <c r="AC51" i="8"/>
  <c r="AC52" i="8" s="1"/>
  <c r="AD52" i="8" s="1"/>
  <c r="AB51" i="8"/>
  <c r="AA51" i="8"/>
  <c r="Y51" i="8"/>
  <c r="Y52" i="8" s="1"/>
  <c r="Z52" i="8" s="1"/>
  <c r="X51" i="8"/>
  <c r="W51" i="8"/>
  <c r="U51" i="8"/>
  <c r="U52" i="8" s="1"/>
  <c r="V52" i="8" s="1"/>
  <c r="T51" i="8"/>
  <c r="S51" i="8"/>
  <c r="Q51" i="8"/>
  <c r="Q52" i="8" s="1"/>
  <c r="R52" i="8" s="1"/>
  <c r="P51" i="8"/>
  <c r="O51" i="8"/>
  <c r="M51" i="8"/>
  <c r="M52" i="8" s="1"/>
  <c r="N52" i="8" s="1"/>
  <c r="L51" i="8"/>
  <c r="K51" i="8"/>
  <c r="I51" i="8"/>
  <c r="I52" i="8" s="1"/>
  <c r="J52" i="8" s="1"/>
  <c r="H51" i="8"/>
  <c r="G51" i="8"/>
  <c r="E51" i="8"/>
  <c r="E52" i="8" s="1"/>
  <c r="F52" i="8" s="1"/>
  <c r="D51" i="8"/>
  <c r="C51" i="8"/>
  <c r="G43" i="8"/>
  <c r="H43" i="8" s="1"/>
  <c r="E43" i="8"/>
  <c r="F43" i="8" s="1"/>
  <c r="C43" i="8"/>
  <c r="D43" i="8" s="1"/>
  <c r="G42" i="8"/>
  <c r="H42" i="8" s="1"/>
  <c r="F42" i="8"/>
  <c r="E42" i="8"/>
  <c r="C42" i="8"/>
  <c r="D42" i="8" s="1"/>
  <c r="H41" i="8"/>
  <c r="G41" i="8"/>
  <c r="E41" i="8"/>
  <c r="F41" i="8" s="1"/>
  <c r="C41" i="8"/>
  <c r="D41" i="8" s="1"/>
  <c r="G40" i="8"/>
  <c r="H40" i="8" s="1"/>
  <c r="E40" i="8"/>
  <c r="F40" i="8" s="1"/>
  <c r="C40" i="8"/>
  <c r="D40" i="8" s="1"/>
  <c r="H39" i="8"/>
  <c r="G39" i="8"/>
  <c r="E39" i="8"/>
  <c r="F39" i="8" s="1"/>
  <c r="D39" i="8"/>
  <c r="C39" i="8"/>
  <c r="G38" i="8"/>
  <c r="H38" i="8" s="1"/>
  <c r="E38" i="8"/>
  <c r="F38" i="8" s="1"/>
  <c r="C38" i="8"/>
  <c r="D38" i="8" s="1"/>
  <c r="G37" i="8"/>
  <c r="H37" i="8" s="1"/>
  <c r="E37" i="8"/>
  <c r="F37" i="8" s="1"/>
  <c r="D37" i="8"/>
  <c r="C37" i="8"/>
  <c r="G36" i="8"/>
  <c r="H36" i="8" s="1"/>
  <c r="F36" i="8"/>
  <c r="E45" i="8" s="1"/>
  <c r="E36" i="8"/>
  <c r="C36" i="8"/>
  <c r="D36" i="8" s="1"/>
  <c r="G35" i="8"/>
  <c r="H35" i="8" s="1"/>
  <c r="E35" i="8"/>
  <c r="F35" i="8" s="1"/>
  <c r="C35" i="8"/>
  <c r="D35" i="8" s="1"/>
  <c r="G34" i="8"/>
  <c r="H34" i="8" s="1"/>
  <c r="F34" i="8"/>
  <c r="E34" i="8"/>
  <c r="C34" i="8"/>
  <c r="D34" i="8" s="1"/>
  <c r="H33" i="8"/>
  <c r="G33" i="8"/>
  <c r="E33" i="8"/>
  <c r="F33" i="8" s="1"/>
  <c r="C33" i="8"/>
  <c r="D33" i="8" s="1"/>
  <c r="G32" i="8"/>
  <c r="H32" i="8" s="1"/>
  <c r="E32" i="8"/>
  <c r="F32" i="8" s="1"/>
  <c r="C32" i="8"/>
  <c r="D32" i="8" s="1"/>
  <c r="H31" i="8"/>
  <c r="G31" i="8"/>
  <c r="E31" i="8"/>
  <c r="F31" i="8" s="1"/>
  <c r="D31" i="8"/>
  <c r="C31" i="8"/>
  <c r="G30" i="8"/>
  <c r="H30" i="8" s="1"/>
  <c r="E30" i="8"/>
  <c r="F30" i="8" s="1"/>
  <c r="C30" i="8"/>
  <c r="D30" i="8" s="1"/>
  <c r="G29" i="8"/>
  <c r="H29" i="8" s="1"/>
  <c r="E29" i="8"/>
  <c r="F29" i="8" s="1"/>
  <c r="D29" i="8"/>
  <c r="C29" i="8"/>
  <c r="E28" i="8"/>
  <c r="F28" i="8" s="1"/>
  <c r="D28" i="8"/>
  <c r="C28" i="8"/>
  <c r="C27" i="8"/>
  <c r="D27" i="8" s="1"/>
  <c r="C26" i="8"/>
  <c r="D26" i="8" s="1"/>
  <c r="G35" i="25"/>
  <c r="H35" i="25" s="1"/>
  <c r="F35" i="25"/>
  <c r="E35" i="25"/>
  <c r="E36" i="25" s="1"/>
  <c r="G34" i="25"/>
  <c r="H34" i="25" s="1"/>
  <c r="F25" i="25"/>
  <c r="E25" i="25"/>
  <c r="G25" i="25" s="1"/>
  <c r="H25" i="25" s="1"/>
  <c r="E24" i="25"/>
  <c r="G24" i="25" s="1"/>
  <c r="H24" i="25" s="1"/>
  <c r="J60" i="5"/>
  <c r="I60" i="5"/>
  <c r="I61" i="5" s="1"/>
  <c r="J61" i="5" s="1"/>
  <c r="T52" i="5"/>
  <c r="T53" i="5" s="1"/>
  <c r="T54" i="5" s="1"/>
  <c r="T55" i="5" s="1"/>
  <c r="T56" i="5" s="1"/>
  <c r="T57" i="5" s="1"/>
  <c r="T58" i="5" s="1"/>
  <c r="T59" i="5" s="1"/>
  <c r="T60" i="5" s="1"/>
  <c r="T61" i="5" s="1"/>
  <c r="T62" i="5" s="1"/>
  <c r="T63" i="5" s="1"/>
  <c r="T64" i="5" s="1"/>
  <c r="T65" i="5" s="1"/>
  <c r="T66" i="5" s="1"/>
  <c r="T67" i="5" s="1"/>
  <c r="G52" i="5"/>
  <c r="I50" i="5"/>
  <c r="H50" i="5"/>
  <c r="G50" i="5"/>
  <c r="G51" i="5" s="1"/>
  <c r="H51" i="5" s="1"/>
  <c r="E50" i="5"/>
  <c r="D50" i="5"/>
  <c r="C50" i="5"/>
  <c r="C51" i="5" s="1"/>
  <c r="D51" i="5" s="1"/>
  <c r="T48" i="5"/>
  <c r="T49" i="5" s="1"/>
  <c r="T50" i="5" s="1"/>
  <c r="T51" i="5" s="1"/>
  <c r="G43" i="5"/>
  <c r="H43" i="5" s="1"/>
  <c r="F43" i="5"/>
  <c r="E43" i="5"/>
  <c r="C43" i="5"/>
  <c r="D43" i="5" s="1"/>
  <c r="H42" i="5"/>
  <c r="G42" i="5"/>
  <c r="E42" i="5"/>
  <c r="F42" i="5" s="1"/>
  <c r="D42" i="5"/>
  <c r="C42" i="5"/>
  <c r="G41" i="5"/>
  <c r="H41" i="5" s="1"/>
  <c r="F41" i="5"/>
  <c r="E41" i="5"/>
  <c r="C41" i="5"/>
  <c r="D41" i="5" s="1"/>
  <c r="H40" i="5"/>
  <c r="G40" i="5"/>
  <c r="E40" i="5"/>
  <c r="F40" i="5" s="1"/>
  <c r="D40" i="5"/>
  <c r="C40" i="5"/>
  <c r="G39" i="5"/>
  <c r="H39" i="5" s="1"/>
  <c r="F39" i="5"/>
  <c r="E39" i="5"/>
  <c r="C39" i="5"/>
  <c r="D39" i="5" s="1"/>
  <c r="H38" i="5"/>
  <c r="G45" i="5" s="1"/>
  <c r="G38" i="5"/>
  <c r="E38" i="5"/>
  <c r="F38" i="5" s="1"/>
  <c r="D38" i="5"/>
  <c r="C38" i="5"/>
  <c r="G37" i="5"/>
  <c r="H37" i="5" s="1"/>
  <c r="F37" i="5"/>
  <c r="E45" i="5" s="1"/>
  <c r="E37" i="5"/>
  <c r="C37" i="5"/>
  <c r="D37" i="5" s="1"/>
  <c r="H36" i="5"/>
  <c r="G36" i="5"/>
  <c r="E36" i="5"/>
  <c r="F36" i="5" s="1"/>
  <c r="D36" i="5"/>
  <c r="C36" i="5"/>
  <c r="G35" i="5"/>
  <c r="H35" i="5" s="1"/>
  <c r="F35" i="5"/>
  <c r="E35" i="5"/>
  <c r="C35" i="5"/>
  <c r="D35" i="5" s="1"/>
  <c r="H34" i="5"/>
  <c r="G34" i="5"/>
  <c r="E34" i="5"/>
  <c r="F34" i="5" s="1"/>
  <c r="D34" i="5"/>
  <c r="C34" i="5"/>
  <c r="G33" i="5"/>
  <c r="H33" i="5" s="1"/>
  <c r="F33" i="5"/>
  <c r="E33" i="5"/>
  <c r="C33" i="5"/>
  <c r="D33" i="5" s="1"/>
  <c r="H32" i="5"/>
  <c r="G32" i="5"/>
  <c r="E32" i="5"/>
  <c r="F32" i="5" s="1"/>
  <c r="D32" i="5"/>
  <c r="C32" i="5"/>
  <c r="G31" i="5"/>
  <c r="H31" i="5" s="1"/>
  <c r="F31" i="5"/>
  <c r="E31" i="5"/>
  <c r="C31" i="5"/>
  <c r="D31" i="5" s="1"/>
  <c r="H30" i="5"/>
  <c r="G30" i="5"/>
  <c r="E30" i="5"/>
  <c r="F30" i="5" s="1"/>
  <c r="D30" i="5"/>
  <c r="C30" i="5"/>
  <c r="G29" i="5"/>
  <c r="H29" i="5" s="1"/>
  <c r="F29" i="5"/>
  <c r="E29" i="5"/>
  <c r="C29" i="5"/>
  <c r="D29" i="5" s="1"/>
  <c r="F28" i="5"/>
  <c r="E44" i="5" s="1"/>
  <c r="E28" i="5"/>
  <c r="C28" i="5"/>
  <c r="D28" i="5" s="1"/>
  <c r="D27" i="5"/>
  <c r="C27" i="5"/>
  <c r="C26" i="5"/>
  <c r="D26" i="5" s="1"/>
  <c r="E23" i="35"/>
  <c r="E24" i="35" s="1"/>
  <c r="F20" i="35"/>
  <c r="E20" i="35"/>
  <c r="D20" i="35"/>
  <c r="C20" i="35"/>
  <c r="B20" i="35"/>
  <c r="D23" i="35" s="1"/>
  <c r="D24" i="35" s="1"/>
  <c r="B17" i="35"/>
  <c r="B11" i="35"/>
  <c r="B10" i="35"/>
  <c r="B9" i="35"/>
  <c r="K7" i="35"/>
  <c r="B7" i="35"/>
  <c r="B6" i="35"/>
  <c r="B5" i="35"/>
  <c r="F23" i="34"/>
  <c r="F24" i="34" s="1"/>
  <c r="B23" i="34"/>
  <c r="F20" i="34"/>
  <c r="E20" i="34"/>
  <c r="D20" i="34"/>
  <c r="C20" i="34"/>
  <c r="B20" i="34"/>
  <c r="B17" i="34"/>
  <c r="B11" i="34"/>
  <c r="B10" i="34"/>
  <c r="B9" i="34" s="1"/>
  <c r="K7" i="34"/>
  <c r="B6" i="34"/>
  <c r="B5" i="34" s="1"/>
  <c r="C4" i="34" s="1"/>
  <c r="F24" i="33"/>
  <c r="E23" i="33"/>
  <c r="E24" i="33" s="1"/>
  <c r="D23" i="33"/>
  <c r="D24" i="33" s="1"/>
  <c r="C23" i="33"/>
  <c r="C24" i="33" s="1"/>
  <c r="F20" i="33"/>
  <c r="E20" i="33"/>
  <c r="D20" i="33"/>
  <c r="C20" i="33"/>
  <c r="B20" i="33"/>
  <c r="F23" i="33" s="1"/>
  <c r="B17" i="33"/>
  <c r="B11" i="33"/>
  <c r="B10" i="33"/>
  <c r="K7" i="33"/>
  <c r="B6" i="33"/>
  <c r="E23" i="32"/>
  <c r="E24" i="32" s="1"/>
  <c r="D23" i="32"/>
  <c r="D24" i="32" s="1"/>
  <c r="F20" i="32"/>
  <c r="E20" i="32"/>
  <c r="D20" i="32"/>
  <c r="C20" i="32"/>
  <c r="B20" i="32"/>
  <c r="C23" i="32" s="1"/>
  <c r="C24" i="32" s="1"/>
  <c r="B17" i="32"/>
  <c r="B11" i="32"/>
  <c r="B10" i="32"/>
  <c r="B9" i="32"/>
  <c r="K7" i="32"/>
  <c r="E23" i="31"/>
  <c r="E24" i="31" s="1"/>
  <c r="F20" i="31"/>
  <c r="E20" i="31"/>
  <c r="D20" i="31"/>
  <c r="C20" i="31"/>
  <c r="B20" i="31"/>
  <c r="D23" i="31" s="1"/>
  <c r="D24" i="31" s="1"/>
  <c r="B17" i="31"/>
  <c r="B11" i="31"/>
  <c r="B10" i="31"/>
  <c r="B9" i="31"/>
  <c r="K7" i="31"/>
  <c r="B7" i="31"/>
  <c r="B6" i="31"/>
  <c r="B5" i="31"/>
  <c r="C4" i="31"/>
  <c r="E8" i="30"/>
  <c r="E7" i="30"/>
  <c r="E6" i="30"/>
  <c r="E5" i="30"/>
  <c r="E4" i="30"/>
  <c r="E9" i="30" s="1"/>
  <c r="F43" i="37"/>
  <c r="H42" i="37"/>
  <c r="G43" i="37" s="1"/>
  <c r="F42" i="37"/>
  <c r="E42" i="37"/>
  <c r="D43" i="37" s="1"/>
  <c r="D42" i="37"/>
  <c r="H38" i="37"/>
  <c r="E38" i="37"/>
  <c r="D38" i="37"/>
  <c r="D41" i="37" s="1"/>
  <c r="D40" i="37" s="1"/>
  <c r="H32" i="37"/>
  <c r="D29" i="37"/>
  <c r="H27" i="37"/>
  <c r="F27" i="37"/>
  <c r="H21" i="37"/>
  <c r="G21" i="37"/>
  <c r="G38" i="37" s="1"/>
  <c r="F21" i="37"/>
  <c r="F38" i="37" s="1"/>
  <c r="E21" i="37"/>
  <c r="D21" i="37"/>
  <c r="H16" i="37"/>
  <c r="G16" i="37"/>
  <c r="F16" i="37"/>
  <c r="E16" i="37"/>
  <c r="D16" i="37"/>
  <c r="D18" i="37" s="1"/>
  <c r="G10" i="37"/>
  <c r="L4" i="38" s="1"/>
  <c r="F10" i="37"/>
  <c r="D10" i="37"/>
  <c r="D27" i="37" s="1"/>
  <c r="D30" i="37" s="1"/>
  <c r="D31" i="37" s="1"/>
  <c r="H9" i="37"/>
  <c r="F8" i="37"/>
  <c r="F9" i="37" s="1"/>
  <c r="E10" i="37" s="1"/>
  <c r="J6" i="38" s="1"/>
  <c r="H5" i="37"/>
  <c r="H8" i="37" s="1"/>
  <c r="G5" i="37"/>
  <c r="F5" i="37"/>
  <c r="E5" i="37"/>
  <c r="D5" i="37"/>
  <c r="D8" i="37" s="1"/>
  <c r="D9" i="37" s="1"/>
  <c r="D7" i="37" s="1"/>
  <c r="E7" i="37" s="1"/>
  <c r="G49" i="38"/>
  <c r="F49" i="38"/>
  <c r="F48" i="38"/>
  <c r="G48" i="38" s="1"/>
  <c r="G47" i="38"/>
  <c r="F47" i="38"/>
  <c r="F46" i="38"/>
  <c r="G46" i="38" s="1"/>
  <c r="G45" i="38"/>
  <c r="F45" i="38"/>
  <c r="F44" i="38"/>
  <c r="G44" i="38" s="1"/>
  <c r="G43" i="38"/>
  <c r="F43" i="38"/>
  <c r="M36" i="38"/>
  <c r="M35" i="38"/>
  <c r="M34" i="38"/>
  <c r="M33" i="38"/>
  <c r="M32" i="38"/>
  <c r="M31" i="38"/>
  <c r="M30" i="38"/>
  <c r="F23" i="38"/>
  <c r="G23" i="38" s="1"/>
  <c r="F22" i="38"/>
  <c r="G22" i="38" s="1"/>
  <c r="F21" i="38"/>
  <c r="G21" i="38" s="1"/>
  <c r="F20" i="38"/>
  <c r="G20" i="38" s="1"/>
  <c r="F19" i="38"/>
  <c r="G19" i="38" s="1"/>
  <c r="F18" i="38"/>
  <c r="G18" i="38" s="1"/>
  <c r="F17" i="38"/>
  <c r="G17" i="38" s="1"/>
  <c r="M10" i="38"/>
  <c r="K10" i="38"/>
  <c r="J10" i="38"/>
  <c r="M9" i="38"/>
  <c r="K9" i="38"/>
  <c r="I9" i="38"/>
  <c r="M8" i="38"/>
  <c r="K8" i="38"/>
  <c r="I8" i="38"/>
  <c r="M7" i="38"/>
  <c r="K7" i="38"/>
  <c r="M6" i="38"/>
  <c r="K6" i="38"/>
  <c r="M5" i="38"/>
  <c r="K5" i="38"/>
  <c r="I5" i="38"/>
  <c r="M4" i="38"/>
  <c r="K4" i="38"/>
  <c r="I4" i="38"/>
  <c r="F30" i="39"/>
  <c r="G30" i="39" s="1"/>
  <c r="H30" i="39" s="1"/>
  <c r="F29" i="39"/>
  <c r="G29" i="39" s="1"/>
  <c r="H29" i="39" s="1"/>
  <c r="F28" i="39"/>
  <c r="G28" i="39" s="1"/>
  <c r="H28" i="39" s="1"/>
  <c r="G27" i="39"/>
  <c r="H27" i="39" s="1"/>
  <c r="F27" i="39"/>
  <c r="F26" i="39"/>
  <c r="G26" i="39" s="1"/>
  <c r="H26" i="39" s="1"/>
  <c r="F25" i="39"/>
  <c r="G25" i="39" s="1"/>
  <c r="H25" i="39" s="1"/>
  <c r="F24" i="39"/>
  <c r="G24" i="39" s="1"/>
  <c r="H24" i="39" s="1"/>
  <c r="G8" i="39"/>
  <c r="G7" i="39"/>
  <c r="G6" i="39"/>
  <c r="L5" i="39"/>
  <c r="J5" i="39"/>
  <c r="G5" i="39"/>
  <c r="J2" i="9"/>
  <c r="F6" i="38" l="1"/>
  <c r="G6" i="38" s="1"/>
  <c r="C11" i="34"/>
  <c r="C6" i="34" s="1"/>
  <c r="C10" i="34"/>
  <c r="C52" i="5"/>
  <c r="H7" i="37"/>
  <c r="E27" i="37"/>
  <c r="E30" i="37" s="1"/>
  <c r="E31" i="37" s="1"/>
  <c r="E43" i="37"/>
  <c r="B22" i="34"/>
  <c r="B24" i="34"/>
  <c r="G46" i="5"/>
  <c r="G44" i="5"/>
  <c r="C45" i="5"/>
  <c r="I51" i="5"/>
  <c r="J50" i="5"/>
  <c r="C46" i="8"/>
  <c r="C44" i="8"/>
  <c r="G44" i="8"/>
  <c r="G46" i="8"/>
  <c r="C45" i="8"/>
  <c r="C46" i="9"/>
  <c r="E19" i="37"/>
  <c r="E18" i="37" s="1"/>
  <c r="F19" i="37" s="1"/>
  <c r="F18" i="37" s="1"/>
  <c r="G18" i="37" s="1"/>
  <c r="H19" i="37" s="1"/>
  <c r="H18" i="37" s="1"/>
  <c r="E51" i="5"/>
  <c r="F50" i="5"/>
  <c r="I62" i="5"/>
  <c r="E26" i="25"/>
  <c r="C44" i="9"/>
  <c r="C54" i="9"/>
  <c r="D53" i="9"/>
  <c r="J7" i="38"/>
  <c r="F7" i="38" s="1"/>
  <c r="G7" i="38" s="1"/>
  <c r="J5" i="38"/>
  <c r="F5" i="38" s="1"/>
  <c r="G5" i="38" s="1"/>
  <c r="J8" i="38"/>
  <c r="J4" i="38"/>
  <c r="F4" i="38" s="1"/>
  <c r="G4" i="38" s="1"/>
  <c r="J9" i="38"/>
  <c r="L9" i="38"/>
  <c r="L5" i="38"/>
  <c r="L7" i="38"/>
  <c r="G27" i="37"/>
  <c r="L10" i="38"/>
  <c r="F10" i="38" s="1"/>
  <c r="G10" i="38" s="1"/>
  <c r="L6" i="38"/>
  <c r="B5" i="33"/>
  <c r="C44" i="5"/>
  <c r="C46" i="5"/>
  <c r="F33" i="24"/>
  <c r="G34" i="24"/>
  <c r="H34" i="24" s="1"/>
  <c r="C10" i="31"/>
  <c r="E46" i="5"/>
  <c r="G53" i="5"/>
  <c r="H52" i="5"/>
  <c r="E46" i="8"/>
  <c r="B6" i="32"/>
  <c r="B7" i="32"/>
  <c r="B9" i="33"/>
  <c r="B7" i="33"/>
  <c r="C5" i="34"/>
  <c r="D4" i="34" s="1"/>
  <c r="L8" i="38"/>
  <c r="F7" i="37"/>
  <c r="G7" i="37" s="1"/>
  <c r="E41" i="37"/>
  <c r="E40" i="37" s="1"/>
  <c r="F41" i="37" s="1"/>
  <c r="F40" i="37" s="1"/>
  <c r="G40" i="37" s="1"/>
  <c r="H41" i="37" s="1"/>
  <c r="H40" i="37" s="1"/>
  <c r="C11" i="31"/>
  <c r="C6" i="31" s="1"/>
  <c r="C5" i="31" s="1"/>
  <c r="E23" i="34"/>
  <c r="E24" i="34" s="1"/>
  <c r="C23" i="34"/>
  <c r="C24" i="34" s="1"/>
  <c r="D23" i="34"/>
  <c r="D24" i="34" s="1"/>
  <c r="C4" i="35"/>
  <c r="F36" i="25"/>
  <c r="G36" i="25" s="1"/>
  <c r="H36" i="25" s="1"/>
  <c r="G45" i="8"/>
  <c r="E34" i="24"/>
  <c r="G29" i="23"/>
  <c r="H29" i="23" s="1"/>
  <c r="F28" i="23"/>
  <c r="E44" i="10"/>
  <c r="G60" i="14"/>
  <c r="H59" i="14"/>
  <c r="S60" i="14"/>
  <c r="T59" i="14"/>
  <c r="W60" i="14"/>
  <c r="X59" i="14"/>
  <c r="B23" i="31"/>
  <c r="F23" i="35"/>
  <c r="F24" i="35" s="1"/>
  <c r="E53" i="8"/>
  <c r="M53" i="8"/>
  <c r="U53" i="8"/>
  <c r="AC53" i="8"/>
  <c r="AK53" i="8"/>
  <c r="K52" i="9"/>
  <c r="L51" i="9"/>
  <c r="U30" i="10"/>
  <c r="V29" i="10"/>
  <c r="B50" i="14"/>
  <c r="I7" i="38"/>
  <c r="C23" i="31"/>
  <c r="C24" i="31" s="1"/>
  <c r="B23" i="32"/>
  <c r="F23" i="32"/>
  <c r="F24" i="32" s="1"/>
  <c r="C23" i="35"/>
  <c r="C24" i="35" s="1"/>
  <c r="F51" i="8"/>
  <c r="J51" i="8"/>
  <c r="N51" i="8"/>
  <c r="R51" i="8"/>
  <c r="V51" i="8"/>
  <c r="Z51" i="8"/>
  <c r="AD51" i="8"/>
  <c r="AH51" i="8"/>
  <c r="AL51" i="8"/>
  <c r="D52" i="8"/>
  <c r="L52" i="8"/>
  <c r="T52" i="8"/>
  <c r="AB52" i="8"/>
  <c r="AJ52" i="8"/>
  <c r="H54" i="8"/>
  <c r="P54" i="8"/>
  <c r="X54" i="8"/>
  <c r="AF54" i="8"/>
  <c r="AN54" i="8"/>
  <c r="G46" i="9"/>
  <c r="G44" i="9"/>
  <c r="G52" i="9"/>
  <c r="H51" i="9"/>
  <c r="D52" i="9"/>
  <c r="O52" i="9"/>
  <c r="I64" i="9"/>
  <c r="J63" i="9"/>
  <c r="O29" i="10"/>
  <c r="P28" i="10"/>
  <c r="Y33" i="10"/>
  <c r="Z32" i="10"/>
  <c r="B60" i="14"/>
  <c r="A61" i="14"/>
  <c r="C60" i="14"/>
  <c r="D59" i="14"/>
  <c r="K60" i="14"/>
  <c r="L59" i="14"/>
  <c r="O60" i="14"/>
  <c r="P59" i="14"/>
  <c r="M60" i="14"/>
  <c r="N59" i="14"/>
  <c r="F23" i="31"/>
  <c r="F24" i="31" s="1"/>
  <c r="B23" i="35"/>
  <c r="E44" i="8"/>
  <c r="E27" i="19"/>
  <c r="G26" i="19"/>
  <c r="H26" i="19" s="1"/>
  <c r="E45" i="9"/>
  <c r="I70" i="9"/>
  <c r="H28" i="22"/>
  <c r="G28" i="22"/>
  <c r="F29" i="22" s="1"/>
  <c r="AA29" i="10"/>
  <c r="AB28" i="10"/>
  <c r="I6" i="38"/>
  <c r="I10" i="38"/>
  <c r="B23" i="33"/>
  <c r="B7" i="34"/>
  <c r="I53" i="8"/>
  <c r="Q53" i="8"/>
  <c r="Y53" i="8"/>
  <c r="AG53" i="8"/>
  <c r="C54" i="8"/>
  <c r="K54" i="8"/>
  <c r="S54" i="8"/>
  <c r="AA54" i="8"/>
  <c r="AI54" i="8"/>
  <c r="G56" i="8"/>
  <c r="O56" i="8"/>
  <c r="W56" i="8"/>
  <c r="AE56" i="8"/>
  <c r="AM56" i="8"/>
  <c r="E36" i="19"/>
  <c r="M70" i="9"/>
  <c r="E63" i="9"/>
  <c r="F62" i="9"/>
  <c r="I32" i="10"/>
  <c r="J31" i="10"/>
  <c r="Z31" i="10"/>
  <c r="K45" i="14"/>
  <c r="I61" i="14"/>
  <c r="J60" i="14"/>
  <c r="F31" i="24"/>
  <c r="E35" i="24" s="1"/>
  <c r="F27" i="24"/>
  <c r="F52" i="9"/>
  <c r="F53" i="9"/>
  <c r="F54" i="9"/>
  <c r="F55" i="9"/>
  <c r="F56" i="9"/>
  <c r="F57" i="9"/>
  <c r="F58" i="9"/>
  <c r="F59" i="9"/>
  <c r="F60" i="9"/>
  <c r="N61" i="9"/>
  <c r="E29" i="23"/>
  <c r="AE29" i="10"/>
  <c r="AF28" i="10"/>
  <c r="AC27" i="10"/>
  <c r="AD26" i="10"/>
  <c r="K28" i="10"/>
  <c r="L27" i="10"/>
  <c r="W29" i="10"/>
  <c r="X28" i="10"/>
  <c r="AF27" i="10"/>
  <c r="G45" i="10"/>
  <c r="E46" i="14"/>
  <c r="E44" i="14"/>
  <c r="K46" i="14"/>
  <c r="C45" i="14"/>
  <c r="K44" i="14"/>
  <c r="Q60" i="14"/>
  <c r="R59" i="14"/>
  <c r="G35" i="19"/>
  <c r="H35" i="19" s="1"/>
  <c r="F49" i="19"/>
  <c r="F33" i="20"/>
  <c r="E44" i="9"/>
  <c r="G45" i="9"/>
  <c r="M63" i="9"/>
  <c r="N62" i="9"/>
  <c r="B52" i="9"/>
  <c r="B53" i="9"/>
  <c r="B54" i="9"/>
  <c r="B55" i="9"/>
  <c r="B56" i="9"/>
  <c r="B57" i="9"/>
  <c r="B58" i="9"/>
  <c r="B59" i="9"/>
  <c r="B60" i="9"/>
  <c r="B61" i="9"/>
  <c r="A63" i="9"/>
  <c r="Q27" i="10"/>
  <c r="R26" i="10"/>
  <c r="X27" i="10"/>
  <c r="G44" i="10"/>
  <c r="G46" i="10"/>
  <c r="C45" i="10"/>
  <c r="C44" i="14"/>
  <c r="E45" i="14"/>
  <c r="E27" i="15"/>
  <c r="F26" i="15"/>
  <c r="G26" i="15" s="1"/>
  <c r="H26" i="15" s="1"/>
  <c r="G35" i="15"/>
  <c r="H35" i="15" s="1"/>
  <c r="E36" i="15"/>
  <c r="J30" i="10"/>
  <c r="F35" i="27"/>
  <c r="E36" i="27" s="1"/>
  <c r="F35" i="15"/>
  <c r="F48" i="15"/>
  <c r="G28" i="23"/>
  <c r="H28" i="23" s="1"/>
  <c r="C44" i="10"/>
  <c r="M27" i="10"/>
  <c r="N26" i="10"/>
  <c r="V27" i="10"/>
  <c r="S28" i="10"/>
  <c r="J29" i="10"/>
  <c r="Z30" i="10"/>
  <c r="E63" i="14"/>
  <c r="F62" i="14"/>
  <c r="F60" i="14"/>
  <c r="U62" i="14"/>
  <c r="V61" i="14"/>
  <c r="M35" i="29"/>
  <c r="J27" i="10"/>
  <c r="Z27" i="10"/>
  <c r="C46" i="14"/>
  <c r="G44" i="14"/>
  <c r="I46" i="14"/>
  <c r="I44" i="14"/>
  <c r="I45" i="14"/>
  <c r="G46" i="14"/>
  <c r="C8" i="29"/>
  <c r="F8" i="29"/>
  <c r="G8" i="29" s="1"/>
  <c r="C32" i="40"/>
  <c r="C30" i="40"/>
  <c r="C28" i="40"/>
  <c r="E25" i="27"/>
  <c r="F7" i="29"/>
  <c r="G7" i="29" s="1"/>
  <c r="M36" i="29"/>
  <c r="D4" i="31" l="1"/>
  <c r="F36" i="27"/>
  <c r="E37" i="27" s="1"/>
  <c r="G29" i="22"/>
  <c r="I30" i="22" s="1"/>
  <c r="J30" i="22" s="1"/>
  <c r="H29" i="22"/>
  <c r="G36" i="15"/>
  <c r="H36" i="15" s="1"/>
  <c r="E37" i="15"/>
  <c r="F36" i="15"/>
  <c r="G57" i="8"/>
  <c r="H56" i="8"/>
  <c r="C61" i="14"/>
  <c r="D60" i="14"/>
  <c r="P52" i="9"/>
  <c r="O53" i="9"/>
  <c r="M54" i="8"/>
  <c r="N53" i="8"/>
  <c r="D10" i="34"/>
  <c r="D5" i="34"/>
  <c r="D11" i="34"/>
  <c r="D6" i="34" s="1"/>
  <c r="E26" i="27"/>
  <c r="F25" i="27"/>
  <c r="G25" i="27"/>
  <c r="H25" i="27" s="1"/>
  <c r="J61" i="14"/>
  <c r="I62" i="14"/>
  <c r="I33" i="10"/>
  <c r="J32" i="10"/>
  <c r="E64" i="9"/>
  <c r="F63" i="9"/>
  <c r="AE57" i="8"/>
  <c r="AF56" i="8"/>
  <c r="AI55" i="8"/>
  <c r="AJ54" i="8"/>
  <c r="C55" i="8"/>
  <c r="D54" i="8"/>
  <c r="I54" i="8"/>
  <c r="J53" i="8"/>
  <c r="G27" i="19"/>
  <c r="H27" i="19" s="1"/>
  <c r="F27" i="19"/>
  <c r="E28" i="19" s="1"/>
  <c r="A70" i="9"/>
  <c r="V30" i="10"/>
  <c r="U31" i="10"/>
  <c r="L52" i="9"/>
  <c r="K53" i="9"/>
  <c r="AK54" i="8"/>
  <c r="AL53" i="8"/>
  <c r="E54" i="8"/>
  <c r="F53" i="8"/>
  <c r="W61" i="14"/>
  <c r="X60" i="14"/>
  <c r="G61" i="14"/>
  <c r="H60" i="14"/>
  <c r="F34" i="24"/>
  <c r="G35" i="24"/>
  <c r="H35" i="24" s="1"/>
  <c r="G54" i="5"/>
  <c r="H53" i="5"/>
  <c r="F9" i="38"/>
  <c r="G9" i="38" s="1"/>
  <c r="F63" i="14"/>
  <c r="E64" i="14"/>
  <c r="F27" i="15"/>
  <c r="E28" i="15" s="1"/>
  <c r="F35" i="24"/>
  <c r="G36" i="24"/>
  <c r="H36" i="24" s="1"/>
  <c r="E36" i="24"/>
  <c r="AM57" i="8"/>
  <c r="AN56" i="8"/>
  <c r="K55" i="8"/>
  <c r="L54" i="8"/>
  <c r="Q54" i="8"/>
  <c r="R53" i="8"/>
  <c r="O61" i="14"/>
  <c r="P60" i="14"/>
  <c r="C10" i="35"/>
  <c r="C11" i="35"/>
  <c r="C6" i="35" s="1"/>
  <c r="C8" i="31"/>
  <c r="C7" i="31"/>
  <c r="C9" i="31"/>
  <c r="AC28" i="10"/>
  <c r="AD27" i="10"/>
  <c r="D18" i="40"/>
  <c r="D14" i="40"/>
  <c r="D10" i="40"/>
  <c r="D6" i="40"/>
  <c r="D2" i="40"/>
  <c r="D19" i="40"/>
  <c r="D16" i="40"/>
  <c r="D11" i="40"/>
  <c r="D8" i="40"/>
  <c r="D3" i="40"/>
  <c r="D22" i="40"/>
  <c r="D23" i="40" s="1"/>
  <c r="D24" i="40" s="1"/>
  <c r="D25" i="40" s="1"/>
  <c r="D26" i="40" s="1"/>
  <c r="D20" i="40"/>
  <c r="D17" i="40"/>
  <c r="D7" i="40"/>
  <c r="D5" i="40"/>
  <c r="D12" i="40"/>
  <c r="D9" i="40"/>
  <c r="D21" i="40"/>
  <c r="D4" i="40"/>
  <c r="D15" i="40"/>
  <c r="D13" i="40"/>
  <c r="M28" i="10"/>
  <c r="N27" i="10"/>
  <c r="G35" i="27"/>
  <c r="H35" i="27" s="1"/>
  <c r="B63" i="9"/>
  <c r="A64" i="9"/>
  <c r="M64" i="9"/>
  <c r="N63" i="9"/>
  <c r="I34" i="20"/>
  <c r="J34" i="20" s="1"/>
  <c r="H33" i="20"/>
  <c r="G33" i="20"/>
  <c r="F34" i="20"/>
  <c r="W57" i="8"/>
  <c r="X56" i="8"/>
  <c r="AA55" i="8"/>
  <c r="AB54" i="8"/>
  <c r="AG54" i="8"/>
  <c r="AH53" i="8"/>
  <c r="I29" i="22"/>
  <c r="J29" i="22" s="1"/>
  <c r="M61" i="14"/>
  <c r="N60" i="14"/>
  <c r="K61" i="14"/>
  <c r="L60" i="14"/>
  <c r="Y34" i="10"/>
  <c r="Z33" i="10"/>
  <c r="E70" i="9"/>
  <c r="AC54" i="8"/>
  <c r="AD53" i="8"/>
  <c r="B51" i="14"/>
  <c r="B52" i="14" s="1"/>
  <c r="E37" i="25"/>
  <c r="B5" i="32"/>
  <c r="E52" i="5"/>
  <c r="F51" i="5"/>
  <c r="I52" i="5"/>
  <c r="J51" i="5"/>
  <c r="B25" i="34"/>
  <c r="G24" i="34"/>
  <c r="B19" i="34"/>
  <c r="C53" i="5"/>
  <c r="D52" i="5"/>
  <c r="Q28" i="10"/>
  <c r="R27" i="10"/>
  <c r="G30" i="23"/>
  <c r="H30" i="23" s="1"/>
  <c r="F29" i="23"/>
  <c r="E30" i="23"/>
  <c r="AB29" i="10"/>
  <c r="AA30" i="10"/>
  <c r="P29" i="10"/>
  <c r="O30" i="10"/>
  <c r="C4" i="33"/>
  <c r="I63" i="5"/>
  <c r="J62" i="5"/>
  <c r="C8" i="34"/>
  <c r="D9" i="34"/>
  <c r="C9" i="34"/>
  <c r="C7" i="34"/>
  <c r="F9" i="29"/>
  <c r="G9" i="29" s="1"/>
  <c r="D8" i="29"/>
  <c r="C9" i="29" s="1"/>
  <c r="E8" i="29"/>
  <c r="U63" i="14"/>
  <c r="V62" i="14"/>
  <c r="W30" i="10"/>
  <c r="X29" i="10"/>
  <c r="E26" i="40"/>
  <c r="E24" i="40"/>
  <c r="E22" i="40"/>
  <c r="E19" i="40"/>
  <c r="E15" i="40"/>
  <c r="E11" i="40"/>
  <c r="E7" i="40"/>
  <c r="E3" i="40"/>
  <c r="E25" i="40"/>
  <c r="E17" i="40"/>
  <c r="E14" i="40"/>
  <c r="E9" i="40"/>
  <c r="E6" i="40"/>
  <c r="E23" i="40"/>
  <c r="E20" i="40"/>
  <c r="E18" i="40"/>
  <c r="E16" i="40"/>
  <c r="E12" i="40"/>
  <c r="E10" i="40"/>
  <c r="E8" i="40"/>
  <c r="E4" i="40"/>
  <c r="E2" i="40"/>
  <c r="E21" i="40"/>
  <c r="E5" i="40"/>
  <c r="E13" i="40"/>
  <c r="S29" i="10"/>
  <c r="T28" i="10"/>
  <c r="R60" i="14"/>
  <c r="Q61" i="14"/>
  <c r="K29" i="10"/>
  <c r="L28" i="10"/>
  <c r="AF29" i="10"/>
  <c r="AE30" i="10"/>
  <c r="G36" i="19"/>
  <c r="H36" i="19" s="1"/>
  <c r="F36" i="19"/>
  <c r="E37" i="19"/>
  <c r="O57" i="8"/>
  <c r="P56" i="8"/>
  <c r="S55" i="8"/>
  <c r="T54" i="8"/>
  <c r="Y54" i="8"/>
  <c r="Z53" i="8"/>
  <c r="B22" i="33"/>
  <c r="B24" i="33"/>
  <c r="B24" i="35"/>
  <c r="B22" i="35"/>
  <c r="B61" i="14"/>
  <c r="A62" i="14"/>
  <c r="I65" i="9"/>
  <c r="J64" i="9"/>
  <c r="G53" i="9"/>
  <c r="H52" i="9"/>
  <c r="B24" i="32"/>
  <c r="B22" i="32"/>
  <c r="U54" i="8"/>
  <c r="V53" i="8"/>
  <c r="B24" i="31"/>
  <c r="B22" i="31"/>
  <c r="S61" i="14"/>
  <c r="T60" i="14"/>
  <c r="E37" i="24"/>
  <c r="F8" i="38"/>
  <c r="G8" i="38" s="1"/>
  <c r="C55" i="9"/>
  <c r="D54" i="9"/>
  <c r="G26" i="25"/>
  <c r="H26" i="25" s="1"/>
  <c r="F26" i="25"/>
  <c r="E27" i="25"/>
  <c r="B26" i="34"/>
  <c r="B21" i="34"/>
  <c r="G21" i="34" s="1"/>
  <c r="C22" i="34"/>
  <c r="D32" i="37"/>
  <c r="E29" i="37"/>
  <c r="F30" i="37" s="1"/>
  <c r="F31" i="37" s="1"/>
  <c r="E29" i="19" l="1"/>
  <c r="F28" i="19"/>
  <c r="G28" i="19" s="1"/>
  <c r="H28" i="19" s="1"/>
  <c r="E9" i="29"/>
  <c r="D9" i="29"/>
  <c r="C10" i="29" s="1"/>
  <c r="E29" i="15"/>
  <c r="G28" i="15"/>
  <c r="H28" i="15" s="1"/>
  <c r="F28" i="15"/>
  <c r="G37" i="27"/>
  <c r="H37" i="27" s="1"/>
  <c r="F37" i="27"/>
  <c r="E38" i="27" s="1"/>
  <c r="F37" i="24"/>
  <c r="G38" i="24"/>
  <c r="H38" i="24" s="1"/>
  <c r="Q62" i="14"/>
  <c r="R61" i="14"/>
  <c r="C8" i="35"/>
  <c r="C9" i="35"/>
  <c r="C7" i="35"/>
  <c r="E4" i="34"/>
  <c r="Y44" i="10"/>
  <c r="F29" i="37"/>
  <c r="G30" i="37" s="1"/>
  <c r="G31" i="37" s="1"/>
  <c r="E32" i="37"/>
  <c r="G24" i="31"/>
  <c r="B19" i="31"/>
  <c r="B25" i="31"/>
  <c r="B25" i="32"/>
  <c r="G24" i="32"/>
  <c r="B19" i="32"/>
  <c r="I66" i="9"/>
  <c r="J65" i="9"/>
  <c r="C22" i="33"/>
  <c r="B26" i="33"/>
  <c r="B21" i="33"/>
  <c r="G21" i="33" s="1"/>
  <c r="T55" i="8"/>
  <c r="S56" i="8"/>
  <c r="S30" i="10"/>
  <c r="T29" i="10"/>
  <c r="W31" i="10"/>
  <c r="X30" i="10"/>
  <c r="C10" i="33"/>
  <c r="C11" i="33"/>
  <c r="C6" i="33" s="1"/>
  <c r="C5" i="33" s="1"/>
  <c r="AA31" i="10"/>
  <c r="AB30" i="10"/>
  <c r="C18" i="34"/>
  <c r="I53" i="5"/>
  <c r="J52" i="5"/>
  <c r="C4" i="32"/>
  <c r="Y35" i="10"/>
  <c r="Z34" i="10"/>
  <c r="M62" i="14"/>
  <c r="N61" i="14"/>
  <c r="AH54" i="8"/>
  <c r="AG55" i="8"/>
  <c r="X57" i="8"/>
  <c r="W58" i="8"/>
  <c r="R54" i="8"/>
  <c r="Q55" i="8"/>
  <c r="AN57" i="8"/>
  <c r="AM58" i="8"/>
  <c r="G27" i="15"/>
  <c r="H27" i="15" s="1"/>
  <c r="U32" i="10"/>
  <c r="V31" i="10"/>
  <c r="J54" i="8"/>
  <c r="I55" i="8"/>
  <c r="AJ55" i="8"/>
  <c r="AI56" i="8"/>
  <c r="E65" i="9"/>
  <c r="F64" i="9"/>
  <c r="D8" i="34"/>
  <c r="D7" i="34"/>
  <c r="C62" i="14"/>
  <c r="D61" i="14"/>
  <c r="F30" i="22"/>
  <c r="G36" i="27"/>
  <c r="H36" i="27" s="1"/>
  <c r="D11" i="31"/>
  <c r="D6" i="31" s="1"/>
  <c r="D5" i="31"/>
  <c r="D10" i="31"/>
  <c r="C22" i="31"/>
  <c r="B26" i="31"/>
  <c r="B21" i="31"/>
  <c r="G21" i="31" s="1"/>
  <c r="G37" i="19"/>
  <c r="H37" i="19" s="1"/>
  <c r="F37" i="19"/>
  <c r="E38" i="19"/>
  <c r="B64" i="9"/>
  <c r="A65" i="9"/>
  <c r="E65" i="14"/>
  <c r="F64" i="14"/>
  <c r="G62" i="14"/>
  <c r="H61" i="14"/>
  <c r="I63" i="14"/>
  <c r="J62" i="14"/>
  <c r="I35" i="38"/>
  <c r="I31" i="38"/>
  <c r="I36" i="38"/>
  <c r="I32" i="38"/>
  <c r="I33" i="38"/>
  <c r="I34" i="38"/>
  <c r="I30" i="38"/>
  <c r="C56" i="9"/>
  <c r="D55" i="9"/>
  <c r="B62" i="14"/>
  <c r="A63" i="14"/>
  <c r="E32" i="40"/>
  <c r="O31" i="10"/>
  <c r="P30" i="10"/>
  <c r="I35" i="20"/>
  <c r="J35" i="20" s="1"/>
  <c r="H34" i="20"/>
  <c r="G34" i="20"/>
  <c r="F35" i="20" s="1"/>
  <c r="AC29" i="10"/>
  <c r="AD28" i="10"/>
  <c r="F36" i="24"/>
  <c r="G37" i="24"/>
  <c r="H37" i="24" s="1"/>
  <c r="E38" i="24"/>
  <c r="W62" i="14"/>
  <c r="X61" i="14"/>
  <c r="AL54" i="8"/>
  <c r="AK55" i="8"/>
  <c r="G26" i="27"/>
  <c r="H26" i="27" s="1"/>
  <c r="F26" i="27"/>
  <c r="E27" i="27" s="1"/>
  <c r="P53" i="9"/>
  <c r="O54" i="9"/>
  <c r="G37" i="15"/>
  <c r="H37" i="15" s="1"/>
  <c r="F37" i="15"/>
  <c r="E38" i="15" s="1"/>
  <c r="B26" i="32"/>
  <c r="B21" i="32"/>
  <c r="G21" i="32" s="1"/>
  <c r="C22" i="32"/>
  <c r="B19" i="33"/>
  <c r="B25" i="33"/>
  <c r="G24" i="33"/>
  <c r="AE31" i="10"/>
  <c r="AF30" i="10"/>
  <c r="I64" i="5"/>
  <c r="J63" i="5"/>
  <c r="C54" i="5"/>
  <c r="D53" i="5"/>
  <c r="AD54" i="8"/>
  <c r="AC55" i="8"/>
  <c r="E39" i="24"/>
  <c r="F54" i="8"/>
  <c r="E55" i="8"/>
  <c r="N54" i="8"/>
  <c r="M55" i="8"/>
  <c r="H57" i="8"/>
  <c r="G58" i="8"/>
  <c r="F27" i="25"/>
  <c r="G27" i="25" s="1"/>
  <c r="H27" i="25" s="1"/>
  <c r="E28" i="25"/>
  <c r="B26" i="35"/>
  <c r="B21" i="35"/>
  <c r="G21" i="35" s="1"/>
  <c r="C22" i="35"/>
  <c r="E33" i="40"/>
  <c r="C26" i="34"/>
  <c r="D22" i="34"/>
  <c r="S62" i="14"/>
  <c r="T61" i="14"/>
  <c r="V54" i="8"/>
  <c r="U55" i="8"/>
  <c r="G54" i="9"/>
  <c r="H53" i="9"/>
  <c r="G24" i="35"/>
  <c r="B19" i="35"/>
  <c r="B25" i="35"/>
  <c r="Z54" i="8"/>
  <c r="Y55" i="8"/>
  <c r="P57" i="8"/>
  <c r="O58" i="8"/>
  <c r="L29" i="10"/>
  <c r="K30" i="10"/>
  <c r="U64" i="14"/>
  <c r="V63" i="14"/>
  <c r="G31" i="23"/>
  <c r="H31" i="23" s="1"/>
  <c r="F30" i="23"/>
  <c r="E31" i="23"/>
  <c r="Q29" i="10"/>
  <c r="R28" i="10"/>
  <c r="C17" i="34"/>
  <c r="C25" i="34" s="1"/>
  <c r="D17" i="34" s="1"/>
  <c r="E53" i="5"/>
  <c r="F52" i="5"/>
  <c r="F37" i="25"/>
  <c r="E38" i="25" s="1"/>
  <c r="G37" i="25"/>
  <c r="H37" i="25" s="1"/>
  <c r="K62" i="14"/>
  <c r="L61" i="14"/>
  <c r="AB55" i="8"/>
  <c r="AA56" i="8"/>
  <c r="M65" i="9"/>
  <c r="N64" i="9"/>
  <c r="N28" i="10"/>
  <c r="M29" i="10"/>
  <c r="C5" i="35"/>
  <c r="O62" i="14"/>
  <c r="P61" i="14"/>
  <c r="L55" i="8"/>
  <c r="K56" i="8"/>
  <c r="G55" i="5"/>
  <c r="H54" i="5"/>
  <c r="L53" i="9"/>
  <c r="K54" i="9"/>
  <c r="D55" i="8"/>
  <c r="C56" i="8"/>
  <c r="AF57" i="8"/>
  <c r="AE58" i="8"/>
  <c r="I34" i="10"/>
  <c r="J33" i="10"/>
  <c r="B53" i="14"/>
  <c r="I44" i="10"/>
  <c r="F11" i="29" l="1"/>
  <c r="G11" i="29" s="1"/>
  <c r="D10" i="29"/>
  <c r="E10" i="29"/>
  <c r="C11" i="29"/>
  <c r="D4" i="33"/>
  <c r="F38" i="25"/>
  <c r="E39" i="25"/>
  <c r="G38" i="25"/>
  <c r="H38" i="25" s="1"/>
  <c r="H35" i="20"/>
  <c r="G35" i="20"/>
  <c r="F36" i="20" s="1"/>
  <c r="F38" i="15"/>
  <c r="G38" i="15" s="1"/>
  <c r="H38" i="15" s="1"/>
  <c r="F27" i="27"/>
  <c r="E28" i="27" s="1"/>
  <c r="F38" i="27"/>
  <c r="E39" i="27" s="1"/>
  <c r="C57" i="8"/>
  <c r="D56" i="8"/>
  <c r="M30" i="10"/>
  <c r="N29" i="10"/>
  <c r="M66" i="9"/>
  <c r="N65" i="9"/>
  <c r="K63" i="14"/>
  <c r="L62" i="14"/>
  <c r="G32" i="23"/>
  <c r="H32" i="23" s="1"/>
  <c r="F31" i="23"/>
  <c r="E32" i="23"/>
  <c r="K31" i="10"/>
  <c r="L30" i="10"/>
  <c r="Y56" i="8"/>
  <c r="Z55" i="8"/>
  <c r="U56" i="8"/>
  <c r="V55" i="8"/>
  <c r="G59" i="8"/>
  <c r="H58" i="8"/>
  <c r="E56" i="8"/>
  <c r="F55" i="8"/>
  <c r="AC56" i="8"/>
  <c r="AD55" i="8"/>
  <c r="AF31" i="10"/>
  <c r="AE32" i="10"/>
  <c r="D22" i="32"/>
  <c r="C26" i="32"/>
  <c r="W63" i="14"/>
  <c r="X62" i="14"/>
  <c r="AC30" i="10"/>
  <c r="AD29" i="10"/>
  <c r="D7" i="31"/>
  <c r="D8" i="31"/>
  <c r="D9" i="31"/>
  <c r="AG56" i="8"/>
  <c r="AH55" i="8"/>
  <c r="C11" i="32"/>
  <c r="C6" i="32" s="1"/>
  <c r="C5" i="32"/>
  <c r="C10" i="32"/>
  <c r="C7" i="33"/>
  <c r="C8" i="33"/>
  <c r="C9" i="33"/>
  <c r="I67" i="9"/>
  <c r="J66" i="9"/>
  <c r="C17" i="31"/>
  <c r="R62" i="14"/>
  <c r="Q63" i="14"/>
  <c r="E30" i="19"/>
  <c r="G29" i="19"/>
  <c r="H29" i="19" s="1"/>
  <c r="F29" i="19"/>
  <c r="F53" i="5"/>
  <c r="E54" i="5"/>
  <c r="D26" i="34"/>
  <c r="E22" i="34"/>
  <c r="F28" i="25"/>
  <c r="E29" i="25" s="1"/>
  <c r="I65" i="5"/>
  <c r="J64" i="5"/>
  <c r="AK56" i="8"/>
  <c r="AL55" i="8"/>
  <c r="F38" i="24"/>
  <c r="G39" i="24"/>
  <c r="H39" i="24" s="1"/>
  <c r="J63" i="14"/>
  <c r="I64" i="14"/>
  <c r="F65" i="14"/>
  <c r="E66" i="14"/>
  <c r="F38" i="19"/>
  <c r="G38" i="19" s="1"/>
  <c r="H38" i="19" s="1"/>
  <c r="E4" i="31"/>
  <c r="I31" i="22"/>
  <c r="J31" i="22" s="1"/>
  <c r="H30" i="22"/>
  <c r="G30" i="22"/>
  <c r="F31" i="22"/>
  <c r="I56" i="8"/>
  <c r="J55" i="8"/>
  <c r="Q56" i="8"/>
  <c r="R55" i="8"/>
  <c r="Y36" i="10"/>
  <c r="Z35" i="10"/>
  <c r="S31" i="10"/>
  <c r="T30" i="10"/>
  <c r="C18" i="32"/>
  <c r="C18" i="31"/>
  <c r="C19" i="31" s="1"/>
  <c r="E30" i="15"/>
  <c r="F29" i="15"/>
  <c r="G29" i="15"/>
  <c r="H29" i="15" s="1"/>
  <c r="I35" i="10"/>
  <c r="J34" i="10"/>
  <c r="G56" i="5"/>
  <c r="H55" i="5"/>
  <c r="AA57" i="8"/>
  <c r="AB56" i="8"/>
  <c r="AE59" i="8"/>
  <c r="AF58" i="8"/>
  <c r="L54" i="9"/>
  <c r="K55" i="9"/>
  <c r="O63" i="14"/>
  <c r="P62" i="14"/>
  <c r="O59" i="8"/>
  <c r="P58" i="8"/>
  <c r="C17" i="35"/>
  <c r="C26" i="35"/>
  <c r="D22" i="35"/>
  <c r="M56" i="8"/>
  <c r="N55" i="8"/>
  <c r="F39" i="24"/>
  <c r="G40" i="24"/>
  <c r="H40" i="24" s="1"/>
  <c r="C17" i="33"/>
  <c r="P54" i="9"/>
  <c r="O55" i="9"/>
  <c r="P31" i="10"/>
  <c r="O32" i="10"/>
  <c r="A64" i="14"/>
  <c r="B63" i="14"/>
  <c r="C26" i="31"/>
  <c r="D22" i="31"/>
  <c r="E66" i="9"/>
  <c r="F65" i="9"/>
  <c r="U33" i="10"/>
  <c r="V32" i="10"/>
  <c r="W59" i="8"/>
  <c r="X58" i="8"/>
  <c r="J53" i="5"/>
  <c r="I54" i="5"/>
  <c r="AB31" i="10"/>
  <c r="AA32" i="10"/>
  <c r="S57" i="8"/>
  <c r="T56" i="8"/>
  <c r="C26" i="33"/>
  <c r="D22" i="33"/>
  <c r="J36" i="38"/>
  <c r="J32" i="38"/>
  <c r="J34" i="38"/>
  <c r="J33" i="38"/>
  <c r="J30" i="38"/>
  <c r="J31" i="38"/>
  <c r="J35" i="38"/>
  <c r="F10" i="29"/>
  <c r="G10" i="29" s="1"/>
  <c r="K57" i="8"/>
  <c r="L56" i="8"/>
  <c r="D4" i="35"/>
  <c r="D25" i="34"/>
  <c r="E17" i="34" s="1"/>
  <c r="D19" i="34"/>
  <c r="Q30" i="10"/>
  <c r="R29" i="10"/>
  <c r="U65" i="14"/>
  <c r="V64" i="14"/>
  <c r="C18" i="35"/>
  <c r="C19" i="35" s="1"/>
  <c r="G55" i="9"/>
  <c r="H54" i="9"/>
  <c r="S63" i="14"/>
  <c r="T62" i="14"/>
  <c r="C55" i="5"/>
  <c r="D54" i="5"/>
  <c r="C18" i="33"/>
  <c r="C19" i="33" s="1"/>
  <c r="E40" i="24"/>
  <c r="E41" i="24" s="1"/>
  <c r="C57" i="9"/>
  <c r="D56" i="9"/>
  <c r="G63" i="14"/>
  <c r="H62" i="14"/>
  <c r="B65" i="9"/>
  <c r="A66" i="9"/>
  <c r="C63" i="14"/>
  <c r="D62" i="14"/>
  <c r="AI57" i="8"/>
  <c r="AJ56" i="8"/>
  <c r="AM59" i="8"/>
  <c r="AN58" i="8"/>
  <c r="N62" i="14"/>
  <c r="M63" i="14"/>
  <c r="C19" i="34"/>
  <c r="W32" i="10"/>
  <c r="X31" i="10"/>
  <c r="C17" i="32"/>
  <c r="C25" i="32" s="1"/>
  <c r="D17" i="32" s="1"/>
  <c r="G29" i="37"/>
  <c r="H30" i="37" s="1"/>
  <c r="H31" i="37" s="1"/>
  <c r="F32" i="37"/>
  <c r="E11" i="34"/>
  <c r="E6" i="34" s="1"/>
  <c r="E5" i="34"/>
  <c r="E10" i="34"/>
  <c r="F29" i="25" l="1"/>
  <c r="E30" i="25" s="1"/>
  <c r="E29" i="27"/>
  <c r="G28" i="27"/>
  <c r="H28" i="27" s="1"/>
  <c r="F28" i="27"/>
  <c r="F41" i="24"/>
  <c r="G42" i="24"/>
  <c r="H42" i="24" s="1"/>
  <c r="I37" i="20"/>
  <c r="J37" i="20" s="1"/>
  <c r="G36" i="20"/>
  <c r="H36" i="20"/>
  <c r="F37" i="20"/>
  <c r="F39" i="27"/>
  <c r="E40" i="27" s="1"/>
  <c r="E7" i="34"/>
  <c r="E8" i="34"/>
  <c r="E9" i="34"/>
  <c r="AJ57" i="8"/>
  <c r="AI58" i="8"/>
  <c r="D5" i="35"/>
  <c r="D11" i="35"/>
  <c r="D6" i="35" s="1"/>
  <c r="D10" i="35"/>
  <c r="G22" i="29"/>
  <c r="I55" i="5"/>
  <c r="J54" i="5"/>
  <c r="E67" i="9"/>
  <c r="F66" i="9"/>
  <c r="P55" i="9"/>
  <c r="O56" i="9"/>
  <c r="N56" i="8"/>
  <c r="M57" i="8"/>
  <c r="C25" i="35"/>
  <c r="AB57" i="8"/>
  <c r="AA58" i="8"/>
  <c r="S32" i="10"/>
  <c r="T31" i="10"/>
  <c r="J56" i="8"/>
  <c r="I57" i="8"/>
  <c r="E42" i="24"/>
  <c r="I66" i="5"/>
  <c r="J65" i="5"/>
  <c r="C7" i="32"/>
  <c r="C8" i="32"/>
  <c r="C9" i="32"/>
  <c r="AH56" i="8"/>
  <c r="AG57" i="8"/>
  <c r="W64" i="14"/>
  <c r="X63" i="14"/>
  <c r="F56" i="8"/>
  <c r="E57" i="8"/>
  <c r="Z56" i="8"/>
  <c r="Y57" i="8"/>
  <c r="D11" i="33"/>
  <c r="D6" i="33" s="1"/>
  <c r="D10" i="33"/>
  <c r="D5" i="33"/>
  <c r="G32" i="37"/>
  <c r="H29" i="37"/>
  <c r="S64" i="14"/>
  <c r="T63" i="14"/>
  <c r="T57" i="8"/>
  <c r="S58" i="8"/>
  <c r="U34" i="10"/>
  <c r="V33" i="10"/>
  <c r="U44" i="10" s="1"/>
  <c r="B64" i="14"/>
  <c r="A65" i="14"/>
  <c r="E22" i="35"/>
  <c r="D26" i="35"/>
  <c r="I36" i="10"/>
  <c r="J35" i="10"/>
  <c r="C19" i="32"/>
  <c r="R56" i="8"/>
  <c r="Q57" i="8"/>
  <c r="I32" i="22"/>
  <c r="J32" i="22" s="1"/>
  <c r="H31" i="22"/>
  <c r="G31" i="22"/>
  <c r="F32" i="22"/>
  <c r="E39" i="19"/>
  <c r="J64" i="14"/>
  <c r="I65" i="14"/>
  <c r="G28" i="25"/>
  <c r="H28" i="25" s="1"/>
  <c r="E55" i="5"/>
  <c r="F54" i="5"/>
  <c r="F30" i="19"/>
  <c r="E31" i="19" s="1"/>
  <c r="D4" i="32"/>
  <c r="M67" i="9"/>
  <c r="N66" i="9"/>
  <c r="G38" i="27"/>
  <c r="H38" i="27" s="1"/>
  <c r="E39" i="15"/>
  <c r="I36" i="20"/>
  <c r="J36" i="20" s="1"/>
  <c r="F39" i="25"/>
  <c r="E40" i="25"/>
  <c r="G39" i="25"/>
  <c r="H39" i="25" s="1"/>
  <c r="D11" i="29"/>
  <c r="F12" i="29"/>
  <c r="G12" i="29" s="1"/>
  <c r="E11" i="29"/>
  <c r="C12" i="29"/>
  <c r="W33" i="10"/>
  <c r="X32" i="10"/>
  <c r="C58" i="9"/>
  <c r="D57" i="9"/>
  <c r="D55" i="5"/>
  <c r="C56" i="5"/>
  <c r="Q31" i="10"/>
  <c r="R30" i="10"/>
  <c r="D25" i="32"/>
  <c r="D19" i="32"/>
  <c r="AN59" i="8"/>
  <c r="AM70" i="8" s="1"/>
  <c r="AM60" i="8"/>
  <c r="C64" i="14"/>
  <c r="D63" i="14"/>
  <c r="G64" i="14"/>
  <c r="H63" i="14"/>
  <c r="G56" i="9"/>
  <c r="H55" i="9"/>
  <c r="L57" i="8"/>
  <c r="K58" i="8"/>
  <c r="D26" i="33"/>
  <c r="E22" i="33"/>
  <c r="AA33" i="10"/>
  <c r="AB32" i="10"/>
  <c r="O33" i="10"/>
  <c r="P32" i="10"/>
  <c r="E43" i="24"/>
  <c r="F43" i="24" s="1"/>
  <c r="P59" i="8"/>
  <c r="O70" i="8" s="1"/>
  <c r="O60" i="8"/>
  <c r="O64" i="14"/>
  <c r="P63" i="14"/>
  <c r="AF59" i="8"/>
  <c r="AE70" i="8" s="1"/>
  <c r="AE60" i="8"/>
  <c r="Y37" i="10"/>
  <c r="Z36" i="10"/>
  <c r="E5" i="31"/>
  <c r="E11" i="31"/>
  <c r="E6" i="31" s="1"/>
  <c r="E10" i="31"/>
  <c r="AL56" i="8"/>
  <c r="AK57" i="8"/>
  <c r="F22" i="34"/>
  <c r="F26" i="34" s="1"/>
  <c r="E26" i="34"/>
  <c r="R63" i="14"/>
  <c r="Q64" i="14"/>
  <c r="J67" i="9"/>
  <c r="I68" i="9"/>
  <c r="AD30" i="10"/>
  <c r="AC31" i="10"/>
  <c r="D26" i="32"/>
  <c r="E22" i="32"/>
  <c r="AD56" i="8"/>
  <c r="AC57" i="8"/>
  <c r="H59" i="8"/>
  <c r="G60" i="8"/>
  <c r="V56" i="8"/>
  <c r="U57" i="8"/>
  <c r="L31" i="10"/>
  <c r="K32" i="10"/>
  <c r="D57" i="8"/>
  <c r="C58" i="8"/>
  <c r="G27" i="27"/>
  <c r="H27" i="27" s="1"/>
  <c r="F4" i="34"/>
  <c r="K33" i="38"/>
  <c r="K35" i="38"/>
  <c r="K34" i="38"/>
  <c r="K30" i="38"/>
  <c r="K31" i="38"/>
  <c r="K32" i="38"/>
  <c r="K36" i="38"/>
  <c r="M64" i="14"/>
  <c r="N63" i="14"/>
  <c r="B66" i="9"/>
  <c r="A67" i="9"/>
  <c r="F40" i="24"/>
  <c r="G41" i="24"/>
  <c r="H41" i="24" s="1"/>
  <c r="V65" i="14"/>
  <c r="U66" i="14"/>
  <c r="E25" i="34"/>
  <c r="F17" i="34" s="1"/>
  <c r="E19" i="34"/>
  <c r="X59" i="8"/>
  <c r="W70" i="8" s="1"/>
  <c r="W60" i="8"/>
  <c r="E22" i="31"/>
  <c r="D26" i="31"/>
  <c r="C25" i="33"/>
  <c r="L55" i="9"/>
  <c r="K56" i="9"/>
  <c r="G57" i="5"/>
  <c r="H56" i="5"/>
  <c r="E31" i="15"/>
  <c r="G30" i="15"/>
  <c r="H30" i="15" s="1"/>
  <c r="F30" i="15"/>
  <c r="E67" i="14"/>
  <c r="F66" i="14"/>
  <c r="E77" i="14" s="1"/>
  <c r="C25" i="31"/>
  <c r="AE33" i="10"/>
  <c r="AF32" i="10"/>
  <c r="G33" i="23"/>
  <c r="H33" i="23" s="1"/>
  <c r="F32" i="23"/>
  <c r="E33" i="23"/>
  <c r="K64" i="14"/>
  <c r="L63" i="14"/>
  <c r="N30" i="10"/>
  <c r="M31" i="10"/>
  <c r="F31" i="19" l="1"/>
  <c r="E32" i="19" s="1"/>
  <c r="F40" i="27"/>
  <c r="G40" i="27" s="1"/>
  <c r="H40" i="27" s="1"/>
  <c r="F30" i="25"/>
  <c r="G30" i="25" s="1"/>
  <c r="H30" i="25" s="1"/>
  <c r="E32" i="15"/>
  <c r="F31" i="15"/>
  <c r="G31" i="15" s="1"/>
  <c r="H31" i="15" s="1"/>
  <c r="M32" i="10"/>
  <c r="N31" i="10"/>
  <c r="G34" i="23"/>
  <c r="H34" i="23" s="1"/>
  <c r="F33" i="23"/>
  <c r="E34" i="23"/>
  <c r="AF33" i="10"/>
  <c r="AE44" i="10" s="1"/>
  <c r="AE34" i="10"/>
  <c r="E68" i="14"/>
  <c r="F67" i="14"/>
  <c r="G58" i="5"/>
  <c r="H57" i="5"/>
  <c r="D17" i="33"/>
  <c r="E26" i="31"/>
  <c r="F22" i="31"/>
  <c r="F26" i="31" s="1"/>
  <c r="F11" i="34"/>
  <c r="F6" i="34" s="1"/>
  <c r="G6" i="34" s="1"/>
  <c r="F10" i="34"/>
  <c r="C59" i="8"/>
  <c r="D58" i="8"/>
  <c r="U58" i="8"/>
  <c r="V57" i="8"/>
  <c r="AC58" i="8"/>
  <c r="AD57" i="8"/>
  <c r="AC32" i="10"/>
  <c r="AD31" i="10"/>
  <c r="R64" i="14"/>
  <c r="Q65" i="14"/>
  <c r="AK58" i="8"/>
  <c r="AL57" i="8"/>
  <c r="E7" i="31"/>
  <c r="E8" i="31"/>
  <c r="E9" i="31"/>
  <c r="Y38" i="10"/>
  <c r="Z37" i="10"/>
  <c r="O65" i="14"/>
  <c r="P64" i="14"/>
  <c r="AB33" i="10"/>
  <c r="AA34" i="10"/>
  <c r="G65" i="14"/>
  <c r="H64" i="14"/>
  <c r="D12" i="29"/>
  <c r="F13" i="29" s="1"/>
  <c r="G13" i="29" s="1"/>
  <c r="E12" i="29"/>
  <c r="C13" i="29"/>
  <c r="D11" i="32"/>
  <c r="D6" i="32" s="1"/>
  <c r="D10" i="32"/>
  <c r="I37" i="10"/>
  <c r="J36" i="10"/>
  <c r="L34" i="38"/>
  <c r="F34" i="38" s="1"/>
  <c r="G34" i="38" s="1"/>
  <c r="L30" i="38"/>
  <c r="F30" i="38" s="1"/>
  <c r="G30" i="38" s="1"/>
  <c r="L36" i="38"/>
  <c r="F36" i="38" s="1"/>
  <c r="G36" i="38" s="1"/>
  <c r="L35" i="38"/>
  <c r="F35" i="38" s="1"/>
  <c r="G35" i="38" s="1"/>
  <c r="L31" i="38"/>
  <c r="F31" i="38" s="1"/>
  <c r="G31" i="38" s="1"/>
  <c r="L32" i="38"/>
  <c r="F32" i="38" s="1"/>
  <c r="G32" i="38" s="1"/>
  <c r="L33" i="38"/>
  <c r="F33" i="38" s="1"/>
  <c r="G33" i="38" s="1"/>
  <c r="AG58" i="8"/>
  <c r="AH57" i="8"/>
  <c r="J66" i="5"/>
  <c r="I67" i="5"/>
  <c r="I58" i="8"/>
  <c r="J57" i="8"/>
  <c r="S33" i="10"/>
  <c r="T32" i="10"/>
  <c r="M58" i="8"/>
  <c r="N57" i="8"/>
  <c r="I56" i="5"/>
  <c r="J55" i="5"/>
  <c r="AI59" i="8"/>
  <c r="AJ58" i="8"/>
  <c r="G39" i="27"/>
  <c r="H39" i="27" s="1"/>
  <c r="G29" i="25"/>
  <c r="H29" i="25" s="1"/>
  <c r="L56" i="9"/>
  <c r="K57" i="9"/>
  <c r="W61" i="8"/>
  <c r="X60" i="8"/>
  <c r="I69" i="9"/>
  <c r="J69" i="9" s="1"/>
  <c r="J68" i="9"/>
  <c r="AF60" i="8"/>
  <c r="AE61" i="8"/>
  <c r="O61" i="8"/>
  <c r="P60" i="8"/>
  <c r="P33" i="10"/>
  <c r="O34" i="10"/>
  <c r="E26" i="33"/>
  <c r="F22" i="33"/>
  <c r="F26" i="33" s="1"/>
  <c r="Q32" i="10"/>
  <c r="R31" i="10"/>
  <c r="C59" i="9"/>
  <c r="D58" i="9"/>
  <c r="M68" i="9"/>
  <c r="N67" i="9"/>
  <c r="E56" i="5"/>
  <c r="F55" i="5"/>
  <c r="G39" i="19"/>
  <c r="H39" i="19" s="1"/>
  <c r="E40" i="19"/>
  <c r="F39" i="19"/>
  <c r="A66" i="14"/>
  <c r="B65" i="14"/>
  <c r="V34" i="10"/>
  <c r="U35" i="10"/>
  <c r="E4" i="33"/>
  <c r="Y58" i="8"/>
  <c r="Z57" i="8"/>
  <c r="F42" i="24"/>
  <c r="G43" i="24"/>
  <c r="H43" i="24" s="1"/>
  <c r="H44" i="24" s="1"/>
  <c r="AA59" i="8"/>
  <c r="AB58" i="8"/>
  <c r="E4" i="35"/>
  <c r="H37" i="20"/>
  <c r="G37" i="20"/>
  <c r="I38" i="20"/>
  <c r="J38" i="20" s="1"/>
  <c r="F38" i="20"/>
  <c r="F25" i="34"/>
  <c r="F19" i="34"/>
  <c r="G19" i="34" s="1"/>
  <c r="G27" i="34" s="1"/>
  <c r="M65" i="14"/>
  <c r="N64" i="14"/>
  <c r="K33" i="10"/>
  <c r="L32" i="10"/>
  <c r="G61" i="8"/>
  <c r="H60" i="8"/>
  <c r="F22" i="32"/>
  <c r="F26" i="32" s="1"/>
  <c r="E26" i="32"/>
  <c r="F4" i="31"/>
  <c r="G57" i="9"/>
  <c r="H56" i="9"/>
  <c r="C65" i="14"/>
  <c r="D64" i="14"/>
  <c r="C57" i="5"/>
  <c r="D56" i="5"/>
  <c r="F40" i="25"/>
  <c r="G40" i="25" s="1"/>
  <c r="H40" i="25" s="1"/>
  <c r="E40" i="15"/>
  <c r="F39" i="15"/>
  <c r="G39" i="15" s="1"/>
  <c r="H39" i="15" s="1"/>
  <c r="G30" i="19"/>
  <c r="H30" i="19" s="1"/>
  <c r="H32" i="22"/>
  <c r="G32" i="22"/>
  <c r="F33" i="22" s="1"/>
  <c r="Q58" i="8"/>
  <c r="R57" i="8"/>
  <c r="E26" i="35"/>
  <c r="F22" i="35"/>
  <c r="F26" i="35" s="1"/>
  <c r="G26" i="35" s="1"/>
  <c r="S59" i="8"/>
  <c r="T58" i="8"/>
  <c r="S65" i="14"/>
  <c r="T64" i="14"/>
  <c r="D8" i="33"/>
  <c r="D7" i="33"/>
  <c r="D9" i="33"/>
  <c r="W65" i="14"/>
  <c r="X64" i="14"/>
  <c r="P56" i="9"/>
  <c r="O57" i="9"/>
  <c r="E68" i="9"/>
  <c r="F67" i="9"/>
  <c r="F29" i="27"/>
  <c r="E30" i="27" s="1"/>
  <c r="K65" i="14"/>
  <c r="L64" i="14"/>
  <c r="D17" i="31"/>
  <c r="G25" i="34"/>
  <c r="U67" i="14"/>
  <c r="V66" i="14"/>
  <c r="U77" i="14" s="1"/>
  <c r="B67" i="9"/>
  <c r="A68" i="9"/>
  <c r="G70" i="8"/>
  <c r="G26" i="32"/>
  <c r="G26" i="34"/>
  <c r="K59" i="8"/>
  <c r="L58" i="8"/>
  <c r="AM61" i="8"/>
  <c r="AN60" i="8"/>
  <c r="E17" i="32"/>
  <c r="W34" i="10"/>
  <c r="X33" i="10"/>
  <c r="W44" i="10" s="1"/>
  <c r="J65" i="14"/>
  <c r="I66" i="14"/>
  <c r="E58" i="8"/>
  <c r="F57" i="8"/>
  <c r="D17" i="35"/>
  <c r="D7" i="35"/>
  <c r="D8" i="35"/>
  <c r="D9" i="35"/>
  <c r="F30" i="27" l="1"/>
  <c r="E31" i="27" s="1"/>
  <c r="E15" i="39"/>
  <c r="L15" i="39" s="1"/>
  <c r="C15" i="39"/>
  <c r="J15" i="39" s="1"/>
  <c r="F15" i="39"/>
  <c r="M15" i="39" s="1"/>
  <c r="B15" i="39"/>
  <c r="I15" i="39" s="1"/>
  <c r="N15" i="39" s="1"/>
  <c r="P15" i="39" s="1"/>
  <c r="D15" i="39"/>
  <c r="K15" i="39" s="1"/>
  <c r="B18" i="39"/>
  <c r="I18" i="39" s="1"/>
  <c r="F18" i="39"/>
  <c r="M18" i="39" s="1"/>
  <c r="E18" i="39"/>
  <c r="L18" i="39" s="1"/>
  <c r="C18" i="39"/>
  <c r="J18" i="39" s="1"/>
  <c r="D18" i="39"/>
  <c r="K18" i="39" s="1"/>
  <c r="B19" i="39"/>
  <c r="I19" i="39" s="1"/>
  <c r="D19" i="39"/>
  <c r="K19" i="39" s="1"/>
  <c r="C19" i="39"/>
  <c r="J19" i="39" s="1"/>
  <c r="F19" i="39"/>
  <c r="M19" i="39" s="1"/>
  <c r="E19" i="39"/>
  <c r="L19" i="39" s="1"/>
  <c r="G33" i="22"/>
  <c r="F34" i="22" s="1"/>
  <c r="I34" i="22"/>
  <c r="J34" i="22" s="1"/>
  <c r="H33" i="22"/>
  <c r="D17" i="39"/>
  <c r="K17" i="39" s="1"/>
  <c r="F17" i="39"/>
  <c r="M17" i="39" s="1"/>
  <c r="B17" i="39"/>
  <c r="I17" i="39" s="1"/>
  <c r="C17" i="39"/>
  <c r="J17" i="39" s="1"/>
  <c r="E17" i="39"/>
  <c r="L17" i="39" s="1"/>
  <c r="E20" i="39"/>
  <c r="L20" i="39" s="1"/>
  <c r="B20" i="39"/>
  <c r="I20" i="39" s="1"/>
  <c r="C20" i="39"/>
  <c r="J20" i="39" s="1"/>
  <c r="F20" i="39"/>
  <c r="M20" i="39" s="1"/>
  <c r="D20" i="39"/>
  <c r="K20" i="39" s="1"/>
  <c r="C16" i="39"/>
  <c r="J16" i="39" s="1"/>
  <c r="F16" i="39"/>
  <c r="M16" i="39" s="1"/>
  <c r="E16" i="39"/>
  <c r="L16" i="39" s="1"/>
  <c r="D16" i="39"/>
  <c r="K16" i="39" s="1"/>
  <c r="B16" i="39"/>
  <c r="I16" i="39" s="1"/>
  <c r="D14" i="39"/>
  <c r="K14" i="39" s="1"/>
  <c r="B14" i="39"/>
  <c r="I14" i="39" s="1"/>
  <c r="N14" i="39" s="1"/>
  <c r="P14" i="39" s="1"/>
  <c r="F14" i="39"/>
  <c r="M14" i="39" s="1"/>
  <c r="C14" i="39"/>
  <c r="J14" i="39" s="1"/>
  <c r="E14" i="39"/>
  <c r="L14" i="39" s="1"/>
  <c r="F32" i="19"/>
  <c r="E33" i="19" s="1"/>
  <c r="G32" i="19"/>
  <c r="H32" i="19" s="1"/>
  <c r="D25" i="35"/>
  <c r="D19" i="35"/>
  <c r="E25" i="32"/>
  <c r="E19" i="32"/>
  <c r="L59" i="8"/>
  <c r="K70" i="8" s="1"/>
  <c r="K60" i="8"/>
  <c r="D25" i="31"/>
  <c r="D19" i="31"/>
  <c r="G29" i="27"/>
  <c r="H29" i="27" s="1"/>
  <c r="P57" i="9"/>
  <c r="O58" i="9"/>
  <c r="S66" i="14"/>
  <c r="T65" i="14"/>
  <c r="E41" i="25"/>
  <c r="C58" i="5"/>
  <c r="D57" i="5"/>
  <c r="G58" i="9"/>
  <c r="H57" i="9"/>
  <c r="L33" i="10"/>
  <c r="K44" i="10" s="1"/>
  <c r="K34" i="10"/>
  <c r="F40" i="19"/>
  <c r="G40" i="19" s="1"/>
  <c r="H40" i="19" s="1"/>
  <c r="G26" i="33"/>
  <c r="I57" i="5"/>
  <c r="J56" i="5"/>
  <c r="S34" i="10"/>
  <c r="T33" i="10"/>
  <c r="AA44" i="10"/>
  <c r="Y39" i="10"/>
  <c r="Z38" i="10"/>
  <c r="AD58" i="8"/>
  <c r="AC59" i="8"/>
  <c r="C60" i="8"/>
  <c r="D59" i="8"/>
  <c r="C70" i="8" s="1"/>
  <c r="G26" i="31"/>
  <c r="AE35" i="10"/>
  <c r="AF34" i="10"/>
  <c r="E31" i="25"/>
  <c r="G31" i="19"/>
  <c r="H31" i="19" s="1"/>
  <c r="U68" i="14"/>
  <c r="V67" i="14"/>
  <c r="W66" i="14"/>
  <c r="X65" i="14"/>
  <c r="I33" i="22"/>
  <c r="J33" i="22" s="1"/>
  <c r="F40" i="15"/>
  <c r="G40" i="15" s="1"/>
  <c r="H40" i="15" s="1"/>
  <c r="E41" i="15"/>
  <c r="G38" i="20"/>
  <c r="I39" i="20" s="1"/>
  <c r="J39" i="20" s="1"/>
  <c r="H38" i="20"/>
  <c r="E10" i="33"/>
  <c r="E11" i="33"/>
  <c r="E6" i="33" s="1"/>
  <c r="E5" i="33" s="1"/>
  <c r="B66" i="14"/>
  <c r="A77" i="14" s="1"/>
  <c r="A67" i="14"/>
  <c r="M69" i="9"/>
  <c r="N69" i="9" s="1"/>
  <c r="N68" i="9"/>
  <c r="C60" i="9"/>
  <c r="D59" i="9"/>
  <c r="C70" i="9" s="1"/>
  <c r="P61" i="8"/>
  <c r="O62" i="8"/>
  <c r="AJ59" i="8"/>
  <c r="AI70" i="8" s="1"/>
  <c r="AI60" i="8"/>
  <c r="D7" i="32"/>
  <c r="D8" i="32"/>
  <c r="D9" i="32"/>
  <c r="E13" i="29"/>
  <c r="D13" i="29"/>
  <c r="F14" i="29" s="1"/>
  <c r="G14" i="29" s="1"/>
  <c r="C14" i="29"/>
  <c r="F7" i="34"/>
  <c r="G7" i="34" s="1"/>
  <c r="F8" i="34"/>
  <c r="G8" i="34" s="1"/>
  <c r="F9" i="34"/>
  <c r="G9" i="34" s="1"/>
  <c r="G59" i="5"/>
  <c r="H58" i="5"/>
  <c r="F32" i="15"/>
  <c r="E33" i="15" s="1"/>
  <c r="G32" i="15"/>
  <c r="H32" i="15" s="1"/>
  <c r="E41" i="27"/>
  <c r="J66" i="14"/>
  <c r="I77" i="14" s="1"/>
  <c r="I67" i="14"/>
  <c r="W35" i="10"/>
  <c r="X34" i="10"/>
  <c r="AN61" i="8"/>
  <c r="AM62" i="8"/>
  <c r="B68" i="9"/>
  <c r="A69" i="9"/>
  <c r="B69" i="9" s="1"/>
  <c r="K66" i="14"/>
  <c r="L65" i="14"/>
  <c r="S60" i="8"/>
  <c r="T59" i="8"/>
  <c r="S70" i="8" s="1"/>
  <c r="R58" i="8"/>
  <c r="Q59" i="8"/>
  <c r="C66" i="14"/>
  <c r="D65" i="14"/>
  <c r="F11" i="31"/>
  <c r="F6" i="31" s="1"/>
  <c r="G6" i="31" s="1"/>
  <c r="F10" i="31"/>
  <c r="H61" i="8"/>
  <c r="G62" i="8"/>
  <c r="M66" i="14"/>
  <c r="N65" i="14"/>
  <c r="E5" i="35"/>
  <c r="E10" i="35"/>
  <c r="E11" i="35"/>
  <c r="E6" i="35" s="1"/>
  <c r="AB59" i="8"/>
  <c r="AA70" i="8" s="1"/>
  <c r="AA60" i="8"/>
  <c r="U36" i="10"/>
  <c r="V35" i="10"/>
  <c r="O35" i="10"/>
  <c r="P34" i="10"/>
  <c r="AF61" i="8"/>
  <c r="AE62" i="8"/>
  <c r="X61" i="8"/>
  <c r="W62" i="8"/>
  <c r="N58" i="8"/>
  <c r="M59" i="8"/>
  <c r="J58" i="8"/>
  <c r="I59" i="8"/>
  <c r="I38" i="10"/>
  <c r="J37" i="10"/>
  <c r="G66" i="14"/>
  <c r="H65" i="14"/>
  <c r="O66" i="14"/>
  <c r="P65" i="14"/>
  <c r="AL58" i="8"/>
  <c r="AK59" i="8"/>
  <c r="AD32" i="10"/>
  <c r="AC33" i="10"/>
  <c r="V58" i="8"/>
  <c r="U59" i="8"/>
  <c r="G35" i="23"/>
  <c r="H35" i="23" s="1"/>
  <c r="F34" i="23"/>
  <c r="E35" i="23"/>
  <c r="M33" i="10"/>
  <c r="N32" i="10"/>
  <c r="F58" i="8"/>
  <c r="E59" i="8"/>
  <c r="E69" i="9"/>
  <c r="F69" i="9" s="1"/>
  <c r="F68" i="9"/>
  <c r="Y59" i="8"/>
  <c r="Z58" i="8"/>
  <c r="E57" i="5"/>
  <c r="F56" i="5"/>
  <c r="Q33" i="10"/>
  <c r="R32" i="10"/>
  <c r="O44" i="10"/>
  <c r="I71" i="9"/>
  <c r="I72" i="9"/>
  <c r="L57" i="9"/>
  <c r="K58" i="9"/>
  <c r="S44" i="10"/>
  <c r="I68" i="5"/>
  <c r="J67" i="5"/>
  <c r="AH58" i="8"/>
  <c r="AG59" i="8"/>
  <c r="D5" i="32"/>
  <c r="AA35" i="10"/>
  <c r="AB34" i="10"/>
  <c r="Q66" i="14"/>
  <c r="R65" i="14"/>
  <c r="F5" i="34"/>
  <c r="G5" i="34" s="1"/>
  <c r="G12" i="34" s="1"/>
  <c r="D25" i="33"/>
  <c r="D19" i="33"/>
  <c r="F68" i="14"/>
  <c r="E69" i="14"/>
  <c r="F33" i="15" l="1"/>
  <c r="G33" i="15"/>
  <c r="H33" i="15" s="1"/>
  <c r="F33" i="19"/>
  <c r="G33" i="19" s="1"/>
  <c r="H33" i="19" s="1"/>
  <c r="F4" i="33"/>
  <c r="I35" i="22"/>
  <c r="J35" i="22" s="1"/>
  <c r="H34" i="22"/>
  <c r="G34" i="22"/>
  <c r="F35" i="22"/>
  <c r="E32" i="27"/>
  <c r="F31" i="27"/>
  <c r="G31" i="27" s="1"/>
  <c r="H31" i="27" s="1"/>
  <c r="J68" i="5"/>
  <c r="I69" i="5"/>
  <c r="J69" i="5" s="1"/>
  <c r="AC34" i="10"/>
  <c r="AD33" i="10"/>
  <c r="AC44" i="10" s="1"/>
  <c r="I60" i="8"/>
  <c r="J59" i="8"/>
  <c r="I70" i="8" s="1"/>
  <c r="G63" i="8"/>
  <c r="H62" i="8"/>
  <c r="AJ60" i="8"/>
  <c r="AI61" i="8"/>
  <c r="AF35" i="10"/>
  <c r="AE36" i="10"/>
  <c r="N19" i="39"/>
  <c r="P19" i="39" s="1"/>
  <c r="E17" i="33"/>
  <c r="AG60" i="8"/>
  <c r="AH59" i="8"/>
  <c r="AG70" i="8" s="1"/>
  <c r="O67" i="14"/>
  <c r="P66" i="14"/>
  <c r="O77" i="14" s="1"/>
  <c r="P35" i="10"/>
  <c r="O36" i="10"/>
  <c r="F69" i="14"/>
  <c r="E70" i="14"/>
  <c r="AB35" i="10"/>
  <c r="AA36" i="10"/>
  <c r="L58" i="9"/>
  <c r="K59" i="9"/>
  <c r="G36" i="23"/>
  <c r="H36" i="23" s="1"/>
  <c r="F35" i="23"/>
  <c r="E36" i="23"/>
  <c r="G67" i="14"/>
  <c r="H66" i="14"/>
  <c r="G77" i="14" s="1"/>
  <c r="I39" i="10"/>
  <c r="J38" i="10"/>
  <c r="M67" i="14"/>
  <c r="N66" i="14"/>
  <c r="M77" i="14" s="1"/>
  <c r="F8" i="31"/>
  <c r="G8" i="31" s="1"/>
  <c r="F7" i="31"/>
  <c r="G7" i="31" s="1"/>
  <c r="F9" i="31"/>
  <c r="G9" i="31" s="1"/>
  <c r="S61" i="8"/>
  <c r="T60" i="8"/>
  <c r="W36" i="10"/>
  <c r="X35" i="10"/>
  <c r="F41" i="27"/>
  <c r="G41" i="27" s="1"/>
  <c r="H41" i="27" s="1"/>
  <c r="M71" i="9"/>
  <c r="M72" i="9"/>
  <c r="W67" i="14"/>
  <c r="W68" i="14" s="1"/>
  <c r="X66" i="14"/>
  <c r="W77" i="14" s="1"/>
  <c r="U69" i="14"/>
  <c r="V68" i="14"/>
  <c r="D60" i="8"/>
  <c r="C61" i="8"/>
  <c r="Q77" i="14"/>
  <c r="E41" i="19"/>
  <c r="C59" i="5"/>
  <c r="D58" i="5"/>
  <c r="N20" i="39"/>
  <c r="P20" i="39" s="1"/>
  <c r="N17" i="39"/>
  <c r="P17" i="39" s="1"/>
  <c r="E7" i="35"/>
  <c r="E8" i="35"/>
  <c r="E9" i="35"/>
  <c r="AM63" i="8"/>
  <c r="AN62" i="8"/>
  <c r="H59" i="5"/>
  <c r="G70" i="5" s="1"/>
  <c r="A68" i="14"/>
  <c r="B67" i="14"/>
  <c r="E17" i="31"/>
  <c r="R66" i="14"/>
  <c r="Q67" i="14"/>
  <c r="E58" i="5"/>
  <c r="F57" i="5"/>
  <c r="AC60" i="8"/>
  <c r="AD59" i="8"/>
  <c r="F41" i="25"/>
  <c r="E42" i="25" s="1"/>
  <c r="G41" i="25"/>
  <c r="H41" i="25" s="1"/>
  <c r="F17" i="32"/>
  <c r="F4" i="35"/>
  <c r="K67" i="14"/>
  <c r="L66" i="14"/>
  <c r="K77" i="14" s="1"/>
  <c r="C61" i="9"/>
  <c r="D60" i="9"/>
  <c r="F39" i="20"/>
  <c r="F41" i="15"/>
  <c r="G41" i="15" s="1"/>
  <c r="H41" i="15" s="1"/>
  <c r="F31" i="25"/>
  <c r="G31" i="25" s="1"/>
  <c r="H31" i="25" s="1"/>
  <c r="E32" i="25"/>
  <c r="AC70" i="8"/>
  <c r="Y40" i="10"/>
  <c r="Z39" i="10"/>
  <c r="G59" i="9"/>
  <c r="H58" i="9"/>
  <c r="K61" i="8"/>
  <c r="L60" i="8"/>
  <c r="G30" i="27"/>
  <c r="H30" i="27" s="1"/>
  <c r="E4" i="32"/>
  <c r="X62" i="8"/>
  <c r="W63" i="8"/>
  <c r="V36" i="10"/>
  <c r="U37" i="10"/>
  <c r="Q60" i="8"/>
  <c r="R59" i="8"/>
  <c r="Q70" i="8" s="1"/>
  <c r="I68" i="14"/>
  <c r="J67" i="14"/>
  <c r="F15" i="29"/>
  <c r="G15" i="29" s="1"/>
  <c r="D14" i="29"/>
  <c r="E14" i="29"/>
  <c r="C15" i="29"/>
  <c r="E8" i="33"/>
  <c r="E7" i="33"/>
  <c r="E9" i="33"/>
  <c r="I58" i="5"/>
  <c r="J57" i="5"/>
  <c r="P58" i="9"/>
  <c r="O59" i="9"/>
  <c r="E72" i="9"/>
  <c r="E71" i="9"/>
  <c r="AA61" i="8"/>
  <c r="AB60" i="8"/>
  <c r="Q34" i="10"/>
  <c r="R33" i="10"/>
  <c r="Q44" i="10" s="1"/>
  <c r="Y60" i="8"/>
  <c r="Z59" i="8"/>
  <c r="Y70" i="8" s="1"/>
  <c r="E60" i="8"/>
  <c r="F59" i="8"/>
  <c r="E70" i="8" s="1"/>
  <c r="M34" i="10"/>
  <c r="N33" i="10"/>
  <c r="M44" i="10" s="1"/>
  <c r="U60" i="8"/>
  <c r="V59" i="8"/>
  <c r="U70" i="8" s="1"/>
  <c r="AL59" i="8"/>
  <c r="AK60" i="8"/>
  <c r="M60" i="8"/>
  <c r="N59" i="8"/>
  <c r="M70" i="8" s="1"/>
  <c r="AE63" i="8"/>
  <c r="AF62" i="8"/>
  <c r="F5" i="31"/>
  <c r="G5" i="31" s="1"/>
  <c r="G12" i="31" s="1"/>
  <c r="C67" i="14"/>
  <c r="D66" i="14"/>
  <c r="C77" i="14" s="1"/>
  <c r="A72" i="9"/>
  <c r="A71" i="9"/>
  <c r="O63" i="8"/>
  <c r="P62" i="8"/>
  <c r="S35" i="10"/>
  <c r="T34" i="10"/>
  <c r="K35" i="10"/>
  <c r="L34" i="10"/>
  <c r="S67" i="14"/>
  <c r="T66" i="14"/>
  <c r="S77" i="14" s="1"/>
  <c r="E17" i="35"/>
  <c r="N16" i="39"/>
  <c r="P16" i="39" s="1"/>
  <c r="N18" i="39"/>
  <c r="P18" i="39" s="1"/>
  <c r="P4" i="39" l="1"/>
  <c r="K5" i="39" s="1"/>
  <c r="M5" i="39" s="1"/>
  <c r="F42" i="25"/>
  <c r="G42" i="25" s="1"/>
  <c r="H42" i="25" s="1"/>
  <c r="S36" i="10"/>
  <c r="T35" i="10"/>
  <c r="C68" i="14"/>
  <c r="D67" i="14"/>
  <c r="M35" i="10"/>
  <c r="N34" i="10"/>
  <c r="Z60" i="8"/>
  <c r="Y61" i="8"/>
  <c r="I59" i="5"/>
  <c r="J59" i="5" s="1"/>
  <c r="I70" i="5" s="1"/>
  <c r="J58" i="5"/>
  <c r="R60" i="8"/>
  <c r="Q61" i="8"/>
  <c r="G60" i="9"/>
  <c r="H59" i="9"/>
  <c r="G70" i="9" s="1"/>
  <c r="E42" i="15"/>
  <c r="K68" i="14"/>
  <c r="L67" i="14"/>
  <c r="F25" i="32"/>
  <c r="G25" i="32" s="1"/>
  <c r="F19" i="32"/>
  <c r="G19" i="32" s="1"/>
  <c r="G27" i="32" s="1"/>
  <c r="E59" i="5"/>
  <c r="F58" i="5"/>
  <c r="E25" i="31"/>
  <c r="E19" i="31"/>
  <c r="G41" i="19"/>
  <c r="H41" i="19" s="1"/>
  <c r="F41" i="19"/>
  <c r="E42" i="19"/>
  <c r="E42" i="27"/>
  <c r="W37" i="10"/>
  <c r="X36" i="10"/>
  <c r="I40" i="10"/>
  <c r="J39" i="10"/>
  <c r="AK70" i="8"/>
  <c r="L59" i="9"/>
  <c r="K70" i="9" s="1"/>
  <c r="K60" i="9"/>
  <c r="O37" i="10"/>
  <c r="P36" i="10"/>
  <c r="AJ61" i="8"/>
  <c r="AI62" i="8"/>
  <c r="I71" i="5"/>
  <c r="I72" i="5"/>
  <c r="F32" i="27"/>
  <c r="E33" i="27" s="1"/>
  <c r="N60" i="8"/>
  <c r="M61" i="8"/>
  <c r="AB61" i="8"/>
  <c r="AA62" i="8"/>
  <c r="P59" i="9"/>
  <c r="O60" i="9"/>
  <c r="D15" i="29"/>
  <c r="C16" i="29" s="1"/>
  <c r="E15" i="29"/>
  <c r="U38" i="10"/>
  <c r="V37" i="10"/>
  <c r="F32" i="25"/>
  <c r="G32" i="25" s="1"/>
  <c r="H32" i="25" s="1"/>
  <c r="E33" i="25"/>
  <c r="C62" i="9"/>
  <c r="D61" i="9"/>
  <c r="AD60" i="8"/>
  <c r="AC61" i="8"/>
  <c r="R67" i="14"/>
  <c r="Q68" i="14"/>
  <c r="V69" i="14"/>
  <c r="U70" i="14"/>
  <c r="G37" i="23"/>
  <c r="H37" i="23" s="1"/>
  <c r="F36" i="23"/>
  <c r="E37" i="23"/>
  <c r="E71" i="14"/>
  <c r="F70" i="14"/>
  <c r="AH60" i="8"/>
  <c r="AG61" i="8"/>
  <c r="J60" i="8"/>
  <c r="I61" i="8"/>
  <c r="H35" i="22"/>
  <c r="G35" i="22"/>
  <c r="I36" i="22"/>
  <c r="J36" i="22" s="1"/>
  <c r="F36" i="22"/>
  <c r="L35" i="10"/>
  <c r="K36" i="10"/>
  <c r="P63" i="8"/>
  <c r="O64" i="8"/>
  <c r="V60" i="8"/>
  <c r="U61" i="8"/>
  <c r="F60" i="8"/>
  <c r="E61" i="8"/>
  <c r="Q35" i="10"/>
  <c r="R34" i="10"/>
  <c r="O70" i="9"/>
  <c r="I69" i="14"/>
  <c r="J68" i="14"/>
  <c r="E11" i="32"/>
  <c r="E6" i="32" s="1"/>
  <c r="E5" i="32" s="1"/>
  <c r="E10" i="32"/>
  <c r="L61" i="8"/>
  <c r="K62" i="8"/>
  <c r="Y41" i="10"/>
  <c r="Z40" i="10"/>
  <c r="F11" i="35"/>
  <c r="F6" i="35" s="1"/>
  <c r="G6" i="35" s="1"/>
  <c r="F10" i="35"/>
  <c r="A69" i="14"/>
  <c r="B68" i="14"/>
  <c r="AN63" i="8"/>
  <c r="AM64" i="8"/>
  <c r="D61" i="8"/>
  <c r="C62" i="8"/>
  <c r="T61" i="8"/>
  <c r="S62" i="8"/>
  <c r="H67" i="14"/>
  <c r="G68" i="14"/>
  <c r="AA37" i="10"/>
  <c r="AB36" i="10"/>
  <c r="AE37" i="10"/>
  <c r="AF36" i="10"/>
  <c r="F11" i="33"/>
  <c r="F6" i="33" s="1"/>
  <c r="G6" i="33" s="1"/>
  <c r="F10" i="33"/>
  <c r="E25" i="35"/>
  <c r="E19" i="35"/>
  <c r="S68" i="14"/>
  <c r="T67" i="14"/>
  <c r="AF63" i="8"/>
  <c r="AE64" i="8"/>
  <c r="AL60" i="8"/>
  <c r="AK61" i="8"/>
  <c r="X63" i="8"/>
  <c r="W64" i="8"/>
  <c r="I40" i="20"/>
  <c r="J40" i="20" s="1"/>
  <c r="H39" i="20"/>
  <c r="G39" i="20"/>
  <c r="F40" i="20" s="1"/>
  <c r="D59" i="5"/>
  <c r="C70" i="5" s="1"/>
  <c r="C60" i="5"/>
  <c r="X68" i="14"/>
  <c r="W69" i="14"/>
  <c r="M68" i="14"/>
  <c r="N67" i="14"/>
  <c r="P67" i="14"/>
  <c r="O68" i="14"/>
  <c r="E25" i="33"/>
  <c r="E19" i="33"/>
  <c r="H63" i="8"/>
  <c r="G64" i="8"/>
  <c r="AC35" i="10"/>
  <c r="AD34" i="10"/>
  <c r="H40" i="20" l="1"/>
  <c r="G40" i="20"/>
  <c r="F41" i="20" s="1"/>
  <c r="F4" i="32"/>
  <c r="F33" i="27"/>
  <c r="G33" i="27"/>
  <c r="H33" i="27" s="1"/>
  <c r="D16" i="29"/>
  <c r="C17" i="29" s="1"/>
  <c r="E16" i="29"/>
  <c r="P68" i="14"/>
  <c r="O69" i="14"/>
  <c r="G65" i="8"/>
  <c r="H64" i="8"/>
  <c r="F17" i="33"/>
  <c r="AB37" i="10"/>
  <c r="AA38" i="10"/>
  <c r="T62" i="8"/>
  <c r="S63" i="8"/>
  <c r="AM65" i="8"/>
  <c r="AN64" i="8"/>
  <c r="F5" i="35"/>
  <c r="G5" i="35" s="1"/>
  <c r="Y42" i="10"/>
  <c r="Z41" i="10"/>
  <c r="E8" i="32"/>
  <c r="E7" i="32"/>
  <c r="E9" i="32"/>
  <c r="Q36" i="10"/>
  <c r="R35" i="10"/>
  <c r="F71" i="14"/>
  <c r="E72" i="14"/>
  <c r="V70" i="14"/>
  <c r="U71" i="14"/>
  <c r="C63" i="9"/>
  <c r="D62" i="9"/>
  <c r="F16" i="29"/>
  <c r="G16" i="29" s="1"/>
  <c r="AA63" i="8"/>
  <c r="AB62" i="8"/>
  <c r="G32" i="27"/>
  <c r="H32" i="27" s="1"/>
  <c r="P37" i="10"/>
  <c r="O38" i="10"/>
  <c r="G42" i="27"/>
  <c r="H42" i="27" s="1"/>
  <c r="F42" i="27"/>
  <c r="E43" i="27" s="1"/>
  <c r="E60" i="5"/>
  <c r="F59" i="5"/>
  <c r="L68" i="14"/>
  <c r="K69" i="14"/>
  <c r="Q62" i="8"/>
  <c r="R61" i="8"/>
  <c r="M36" i="10"/>
  <c r="N35" i="10"/>
  <c r="S37" i="10"/>
  <c r="T36" i="10"/>
  <c r="E43" i="25"/>
  <c r="N68" i="14"/>
  <c r="M69" i="14"/>
  <c r="AK62" i="8"/>
  <c r="AL61" i="8"/>
  <c r="F17" i="35"/>
  <c r="F8" i="35"/>
  <c r="G8" i="35" s="1"/>
  <c r="F7" i="35"/>
  <c r="G7" i="35" s="1"/>
  <c r="F9" i="35"/>
  <c r="G9" i="35" s="1"/>
  <c r="K63" i="8"/>
  <c r="L62" i="8"/>
  <c r="E62" i="8"/>
  <c r="F61" i="8"/>
  <c r="O65" i="8"/>
  <c r="P64" i="8"/>
  <c r="H36" i="22"/>
  <c r="G36" i="22"/>
  <c r="F37" i="22" s="1"/>
  <c r="I62" i="8"/>
  <c r="J61" i="8"/>
  <c r="G38" i="23"/>
  <c r="H38" i="23" s="1"/>
  <c r="F37" i="23"/>
  <c r="E38" i="23"/>
  <c r="AD61" i="8"/>
  <c r="AC62" i="8"/>
  <c r="F33" i="25"/>
  <c r="G33" i="25" s="1"/>
  <c r="H33" i="25" s="1"/>
  <c r="V38" i="10"/>
  <c r="U39" i="10"/>
  <c r="AI63" i="8"/>
  <c r="AJ62" i="8"/>
  <c r="K61" i="9"/>
  <c r="L60" i="9"/>
  <c r="I41" i="10"/>
  <c r="J40" i="10"/>
  <c r="G42" i="15"/>
  <c r="H42" i="15" s="1"/>
  <c r="F42" i="15"/>
  <c r="E43" i="15" s="1"/>
  <c r="Y62" i="8"/>
  <c r="Z61" i="8"/>
  <c r="AF37" i="10"/>
  <c r="AE38" i="10"/>
  <c r="H68" i="14"/>
  <c r="G69" i="14"/>
  <c r="C63" i="8"/>
  <c r="D62" i="8"/>
  <c r="O61" i="9"/>
  <c r="P60" i="9"/>
  <c r="M62" i="8"/>
  <c r="N61" i="8"/>
  <c r="F42" i="19"/>
  <c r="G42" i="19" s="1"/>
  <c r="H42" i="19" s="1"/>
  <c r="F17" i="31"/>
  <c r="D68" i="14"/>
  <c r="C69" i="14"/>
  <c r="C61" i="5"/>
  <c r="D60" i="5"/>
  <c r="F7" i="33"/>
  <c r="G7" i="33" s="1"/>
  <c r="F8" i="33"/>
  <c r="G8" i="33" s="1"/>
  <c r="F9" i="33"/>
  <c r="G9" i="33" s="1"/>
  <c r="AC36" i="10"/>
  <c r="AD35" i="10"/>
  <c r="X69" i="14"/>
  <c r="W70" i="14"/>
  <c r="X64" i="8"/>
  <c r="W65" i="8"/>
  <c r="AE65" i="8"/>
  <c r="AF64" i="8"/>
  <c r="T68" i="14"/>
  <c r="S69" i="14"/>
  <c r="F5" i="33"/>
  <c r="G5" i="33" s="1"/>
  <c r="A70" i="14"/>
  <c r="B69" i="14"/>
  <c r="I70" i="14"/>
  <c r="J69" i="14"/>
  <c r="U62" i="8"/>
  <c r="V61" i="8"/>
  <c r="K37" i="10"/>
  <c r="L36" i="10"/>
  <c r="AG62" i="8"/>
  <c r="AH61" i="8"/>
  <c r="Q69" i="14"/>
  <c r="R68" i="14"/>
  <c r="W38" i="10"/>
  <c r="X37" i="10"/>
  <c r="G61" i="9"/>
  <c r="H60" i="9"/>
  <c r="F43" i="27" l="1"/>
  <c r="G43" i="27" s="1"/>
  <c r="H43" i="27" s="1"/>
  <c r="H44" i="27" s="1"/>
  <c r="I38" i="22"/>
  <c r="J38" i="22" s="1"/>
  <c r="G37" i="22"/>
  <c r="H37" i="22"/>
  <c r="F38" i="22"/>
  <c r="E17" i="29"/>
  <c r="D17" i="29"/>
  <c r="F18" i="29" s="1"/>
  <c r="G18" i="29" s="1"/>
  <c r="C18" i="29"/>
  <c r="I42" i="20"/>
  <c r="J42" i="20" s="1"/>
  <c r="G41" i="20"/>
  <c r="H41" i="20"/>
  <c r="F42" i="20"/>
  <c r="F43" i="15"/>
  <c r="G43" i="15" s="1"/>
  <c r="H43" i="15" s="1"/>
  <c r="H44" i="15" s="1"/>
  <c r="L37" i="10"/>
  <c r="K38" i="10"/>
  <c r="J70" i="14"/>
  <c r="I71" i="14"/>
  <c r="G12" i="33"/>
  <c r="AF65" i="8"/>
  <c r="AE66" i="8"/>
  <c r="F25" i="31"/>
  <c r="G25" i="31" s="1"/>
  <c r="F19" i="31"/>
  <c r="G19" i="31" s="1"/>
  <c r="O62" i="9"/>
  <c r="P61" i="9"/>
  <c r="H69" i="14"/>
  <c r="G70" i="14"/>
  <c r="K62" i="9"/>
  <c r="L61" i="9"/>
  <c r="U40" i="10"/>
  <c r="V39" i="10"/>
  <c r="AD62" i="8"/>
  <c r="AC63" i="8"/>
  <c r="P65" i="8"/>
  <c r="O66" i="8"/>
  <c r="L63" i="8"/>
  <c r="K64" i="8"/>
  <c r="AL62" i="8"/>
  <c r="AK63" i="8"/>
  <c r="E70" i="5"/>
  <c r="G60" i="5"/>
  <c r="E73" i="14"/>
  <c r="F72" i="14"/>
  <c r="G12" i="35"/>
  <c r="P69" i="14"/>
  <c r="O70" i="14"/>
  <c r="I41" i="20"/>
  <c r="J41" i="20" s="1"/>
  <c r="R69" i="14"/>
  <c r="Q70" i="14"/>
  <c r="X70" i="14"/>
  <c r="W71" i="14"/>
  <c r="G62" i="9"/>
  <c r="H61" i="9"/>
  <c r="T69" i="14"/>
  <c r="S70" i="14"/>
  <c r="X65" i="8"/>
  <c r="W66" i="8"/>
  <c r="D69" i="14"/>
  <c r="C70" i="14"/>
  <c r="Z62" i="8"/>
  <c r="Y63" i="8"/>
  <c r="I37" i="22"/>
  <c r="J37" i="22" s="1"/>
  <c r="M70" i="14"/>
  <c r="N69" i="14"/>
  <c r="S38" i="10"/>
  <c r="T37" i="10"/>
  <c r="R62" i="8"/>
  <c r="Q63" i="8"/>
  <c r="E61" i="5"/>
  <c r="F60" i="5"/>
  <c r="C64" i="9"/>
  <c r="D63" i="9"/>
  <c r="Q37" i="10"/>
  <c r="R36" i="10"/>
  <c r="AA39" i="10"/>
  <c r="AB38" i="10"/>
  <c r="F25" i="33"/>
  <c r="G25" i="33" s="1"/>
  <c r="F19" i="33"/>
  <c r="G19" i="33" s="1"/>
  <c r="G27" i="33" s="1"/>
  <c r="F17" i="29"/>
  <c r="G17" i="29" s="1"/>
  <c r="W39" i="10"/>
  <c r="X38" i="10"/>
  <c r="AH62" i="8"/>
  <c r="AG63" i="8"/>
  <c r="V62" i="8"/>
  <c r="U63" i="8"/>
  <c r="A71" i="14"/>
  <c r="B70" i="14"/>
  <c r="AC37" i="10"/>
  <c r="AD36" i="10"/>
  <c r="E43" i="19"/>
  <c r="N62" i="8"/>
  <c r="M63" i="8"/>
  <c r="AE39" i="10"/>
  <c r="AF38" i="10"/>
  <c r="I42" i="10"/>
  <c r="J41" i="10"/>
  <c r="AJ63" i="8"/>
  <c r="AI64" i="8"/>
  <c r="G39" i="23"/>
  <c r="H39" i="23" s="1"/>
  <c r="F38" i="23"/>
  <c r="E39" i="23"/>
  <c r="J62" i="8"/>
  <c r="I63" i="8"/>
  <c r="F62" i="8"/>
  <c r="E63" i="8"/>
  <c r="F25" i="35"/>
  <c r="G25" i="35" s="1"/>
  <c r="F19" i="35"/>
  <c r="G19" i="35" s="1"/>
  <c r="L69" i="14"/>
  <c r="K70" i="14"/>
  <c r="O39" i="10"/>
  <c r="P38" i="10"/>
  <c r="AB63" i="8"/>
  <c r="AA64" i="8"/>
  <c r="V71" i="14"/>
  <c r="U72" i="14"/>
  <c r="AN65" i="8"/>
  <c r="AM66" i="8"/>
  <c r="F10" i="32"/>
  <c r="F11" i="32"/>
  <c r="F6" i="32" s="1"/>
  <c r="G6" i="32" s="1"/>
  <c r="C62" i="5"/>
  <c r="D61" i="5"/>
  <c r="D63" i="8"/>
  <c r="C64" i="8"/>
  <c r="G43" i="25"/>
  <c r="H43" i="25" s="1"/>
  <c r="H44" i="25" s="1"/>
  <c r="F43" i="25"/>
  <c r="N36" i="10"/>
  <c r="M37" i="10"/>
  <c r="Y43" i="10"/>
  <c r="Z43" i="10" s="1"/>
  <c r="Z42" i="10"/>
  <c r="T63" i="8"/>
  <c r="S64" i="8"/>
  <c r="H65" i="8"/>
  <c r="G66" i="8"/>
  <c r="G67" i="8" l="1"/>
  <c r="H66" i="8"/>
  <c r="F5" i="32"/>
  <c r="G5" i="32" s="1"/>
  <c r="I64" i="8"/>
  <c r="J63" i="8"/>
  <c r="I43" i="10"/>
  <c r="J43" i="10" s="1"/>
  <c r="J42" i="10"/>
  <c r="A72" i="14"/>
  <c r="B71" i="14"/>
  <c r="Y64" i="8"/>
  <c r="Z63" i="8"/>
  <c r="D70" i="14"/>
  <c r="C71" i="14"/>
  <c r="Q71" i="14"/>
  <c r="R70" i="14"/>
  <c r="K63" i="9"/>
  <c r="L62" i="9"/>
  <c r="AF66" i="8"/>
  <c r="AE67" i="8"/>
  <c r="G42" i="20"/>
  <c r="I43" i="20" s="1"/>
  <c r="J43" i="20" s="1"/>
  <c r="J44" i="20" s="1"/>
  <c r="H42" i="20"/>
  <c r="F19" i="29"/>
  <c r="G19" i="29" s="1"/>
  <c r="D18" i="29"/>
  <c r="C19" i="29" s="1"/>
  <c r="E18" i="29"/>
  <c r="H38" i="22"/>
  <c r="G38" i="22"/>
  <c r="I39" i="22" s="1"/>
  <c r="J39" i="22" s="1"/>
  <c r="M38" i="10"/>
  <c r="N37" i="10"/>
  <c r="Y46" i="10"/>
  <c r="Y45" i="10"/>
  <c r="F8" i="32"/>
  <c r="G8" i="32" s="1"/>
  <c r="F7" i="32"/>
  <c r="G7" i="32" s="1"/>
  <c r="F9" i="32"/>
  <c r="G9" i="32" s="1"/>
  <c r="U73" i="14"/>
  <c r="V72" i="14"/>
  <c r="E64" i="8"/>
  <c r="F63" i="8"/>
  <c r="AI65" i="8"/>
  <c r="AJ64" i="8"/>
  <c r="F43" i="19"/>
  <c r="G43" i="19" s="1"/>
  <c r="H43" i="19" s="1"/>
  <c r="H44" i="19" s="1"/>
  <c r="AC38" i="10"/>
  <c r="AD37" i="10"/>
  <c r="U64" i="8"/>
  <c r="V63" i="8"/>
  <c r="W40" i="10"/>
  <c r="X39" i="10"/>
  <c r="Q38" i="10"/>
  <c r="R37" i="10"/>
  <c r="F61" i="5"/>
  <c r="E62" i="5"/>
  <c r="S39" i="10"/>
  <c r="T38" i="10"/>
  <c r="T70" i="14"/>
  <c r="S71" i="14"/>
  <c r="G63" i="9"/>
  <c r="H62" i="9"/>
  <c r="E74" i="14"/>
  <c r="F73" i="14"/>
  <c r="AK64" i="8"/>
  <c r="AL63" i="8"/>
  <c r="O67" i="8"/>
  <c r="P66" i="8"/>
  <c r="O63" i="9"/>
  <c r="P62" i="9"/>
  <c r="K39" i="10"/>
  <c r="L38" i="10"/>
  <c r="S65" i="8"/>
  <c r="T64" i="8"/>
  <c r="C63" i="5"/>
  <c r="D62" i="5"/>
  <c r="P39" i="10"/>
  <c r="O40" i="10"/>
  <c r="G40" i="23"/>
  <c r="H40" i="23" s="1"/>
  <c r="F39" i="23"/>
  <c r="E40" i="23"/>
  <c r="AF39" i="10"/>
  <c r="AE40" i="10"/>
  <c r="R63" i="8"/>
  <c r="Q64" i="8"/>
  <c r="X71" i="14"/>
  <c r="W72" i="14"/>
  <c r="G61" i="5"/>
  <c r="H60" i="5"/>
  <c r="U41" i="10"/>
  <c r="V40" i="10"/>
  <c r="H70" i="14"/>
  <c r="G71" i="14"/>
  <c r="G27" i="31"/>
  <c r="C65" i="8"/>
  <c r="D64" i="8"/>
  <c r="AM67" i="8"/>
  <c r="AN66" i="8"/>
  <c r="AA65" i="8"/>
  <c r="AB64" i="8"/>
  <c r="L70" i="14"/>
  <c r="K71" i="14"/>
  <c r="G27" i="35"/>
  <c r="M64" i="8"/>
  <c r="N63" i="8"/>
  <c r="AG64" i="8"/>
  <c r="AH63" i="8"/>
  <c r="AB39" i="10"/>
  <c r="AA40" i="10"/>
  <c r="C65" i="9"/>
  <c r="D64" i="9"/>
  <c r="N70" i="14"/>
  <c r="M71" i="14"/>
  <c r="W67" i="8"/>
  <c r="X66" i="8"/>
  <c r="P70" i="14"/>
  <c r="O71" i="14"/>
  <c r="L64" i="8"/>
  <c r="K65" i="8"/>
  <c r="AD63" i="8"/>
  <c r="AC64" i="8"/>
  <c r="I72" i="14"/>
  <c r="J71" i="14"/>
  <c r="D19" i="29" l="1"/>
  <c r="C20" i="29" s="1"/>
  <c r="E19" i="29"/>
  <c r="G12" i="32"/>
  <c r="N64" i="8"/>
  <c r="M65" i="8"/>
  <c r="AN67" i="8"/>
  <c r="AM68" i="8"/>
  <c r="U42" i="10"/>
  <c r="V41" i="10"/>
  <c r="AE41" i="10"/>
  <c r="AF40" i="10"/>
  <c r="L39" i="10"/>
  <c r="K40" i="10"/>
  <c r="P67" i="8"/>
  <c r="O68" i="8"/>
  <c r="E75" i="14"/>
  <c r="F74" i="14"/>
  <c r="W41" i="10"/>
  <c r="X40" i="10"/>
  <c r="AD38" i="10"/>
  <c r="AC39" i="10"/>
  <c r="AJ65" i="8"/>
  <c r="AI66" i="8"/>
  <c r="U74" i="14"/>
  <c r="V73" i="14"/>
  <c r="F39" i="22"/>
  <c r="F43" i="20"/>
  <c r="AF67" i="8"/>
  <c r="AE68" i="8"/>
  <c r="K64" i="9"/>
  <c r="L63" i="9"/>
  <c r="Q72" i="14"/>
  <c r="R71" i="14"/>
  <c r="P71" i="14"/>
  <c r="O72" i="14"/>
  <c r="AA41" i="10"/>
  <c r="AB40" i="10"/>
  <c r="L71" i="14"/>
  <c r="K72" i="14"/>
  <c r="X72" i="14"/>
  <c r="W73" i="14"/>
  <c r="G41" i="23"/>
  <c r="H41" i="23" s="1"/>
  <c r="F40" i="23"/>
  <c r="E41" i="23"/>
  <c r="T65" i="8"/>
  <c r="S66" i="8"/>
  <c r="T71" i="14"/>
  <c r="S72" i="14"/>
  <c r="N38" i="10"/>
  <c r="M39" i="10"/>
  <c r="I46" i="10"/>
  <c r="I45" i="10"/>
  <c r="L65" i="8"/>
  <c r="K66" i="8"/>
  <c r="R64" i="8"/>
  <c r="Q65" i="8"/>
  <c r="D63" i="5"/>
  <c r="C64" i="5"/>
  <c r="Z64" i="8"/>
  <c r="Y65" i="8"/>
  <c r="A73" i="14"/>
  <c r="B72" i="14"/>
  <c r="J64" i="8"/>
  <c r="I65" i="8"/>
  <c r="AD64" i="8"/>
  <c r="AC65" i="8"/>
  <c r="N71" i="14"/>
  <c r="M72" i="14"/>
  <c r="E63" i="5"/>
  <c r="F62" i="5"/>
  <c r="I73" i="14"/>
  <c r="J72" i="14"/>
  <c r="H71" i="14"/>
  <c r="G72" i="14"/>
  <c r="X67" i="8"/>
  <c r="W68" i="8"/>
  <c r="C66" i="9"/>
  <c r="D65" i="9"/>
  <c r="AH64" i="8"/>
  <c r="AG65" i="8"/>
  <c r="AB65" i="8"/>
  <c r="AA66" i="8"/>
  <c r="D65" i="8"/>
  <c r="C66" i="8"/>
  <c r="G62" i="5"/>
  <c r="H61" i="5"/>
  <c r="O41" i="10"/>
  <c r="P40" i="10"/>
  <c r="O64" i="9"/>
  <c r="P63" i="9"/>
  <c r="AL64" i="8"/>
  <c r="AK65" i="8"/>
  <c r="G64" i="9"/>
  <c r="H63" i="9"/>
  <c r="S40" i="10"/>
  <c r="T39" i="10"/>
  <c r="Q39" i="10"/>
  <c r="R38" i="10"/>
  <c r="V64" i="8"/>
  <c r="U65" i="8"/>
  <c r="F64" i="8"/>
  <c r="E65" i="8"/>
  <c r="D71" i="14"/>
  <c r="C72" i="14"/>
  <c r="H67" i="8"/>
  <c r="G68" i="8"/>
  <c r="D20" i="29" l="1"/>
  <c r="F21" i="29" s="1"/>
  <c r="G21" i="29" s="1"/>
  <c r="E20" i="29"/>
  <c r="AH65" i="8"/>
  <c r="AG66" i="8"/>
  <c r="I66" i="8"/>
  <c r="J65" i="8"/>
  <c r="K67" i="8"/>
  <c r="L66" i="8"/>
  <c r="P72" i="14"/>
  <c r="O73" i="14"/>
  <c r="Q40" i="10"/>
  <c r="R39" i="10"/>
  <c r="G65" i="9"/>
  <c r="H64" i="9"/>
  <c r="O65" i="9"/>
  <c r="P64" i="9"/>
  <c r="G63" i="5"/>
  <c r="H62" i="5"/>
  <c r="AA67" i="8"/>
  <c r="AB66" i="8"/>
  <c r="I74" i="14"/>
  <c r="J73" i="14"/>
  <c r="E64" i="5"/>
  <c r="F63" i="5"/>
  <c r="AC66" i="8"/>
  <c r="AD65" i="8"/>
  <c r="W74" i="14"/>
  <c r="X73" i="14"/>
  <c r="AE69" i="8"/>
  <c r="AF69" i="8" s="1"/>
  <c r="AF68" i="8"/>
  <c r="AC40" i="10"/>
  <c r="AD39" i="10"/>
  <c r="AM69" i="8"/>
  <c r="AN69" i="8" s="1"/>
  <c r="AN68" i="8"/>
  <c r="S41" i="10"/>
  <c r="T40" i="10"/>
  <c r="P41" i="10"/>
  <c r="O42" i="10"/>
  <c r="W69" i="8"/>
  <c r="X69" i="8" s="1"/>
  <c r="X68" i="8"/>
  <c r="M73" i="14"/>
  <c r="N72" i="14"/>
  <c r="D72" i="14"/>
  <c r="C73" i="14"/>
  <c r="U66" i="8"/>
  <c r="V65" i="8"/>
  <c r="AL65" i="8"/>
  <c r="AK66" i="8"/>
  <c r="C67" i="9"/>
  <c r="D66" i="9"/>
  <c r="H72" i="14"/>
  <c r="G73" i="14"/>
  <c r="A74" i="14"/>
  <c r="B73" i="14"/>
  <c r="C65" i="5"/>
  <c r="D64" i="5"/>
  <c r="T72" i="14"/>
  <c r="S73" i="14"/>
  <c r="G42" i="23"/>
  <c r="H42" i="23" s="1"/>
  <c r="F41" i="23"/>
  <c r="E42" i="23"/>
  <c r="AB41" i="10"/>
  <c r="AA42" i="10"/>
  <c r="Q73" i="14"/>
  <c r="R72" i="14"/>
  <c r="U75" i="14"/>
  <c r="V74" i="14"/>
  <c r="K41" i="10"/>
  <c r="L40" i="10"/>
  <c r="AF41" i="10"/>
  <c r="AE42" i="10"/>
  <c r="F20" i="29"/>
  <c r="G20" i="29" s="1"/>
  <c r="C67" i="8"/>
  <c r="D66" i="8"/>
  <c r="Y66" i="8"/>
  <c r="Z65" i="8"/>
  <c r="K73" i="14"/>
  <c r="L72" i="14"/>
  <c r="G43" i="20"/>
  <c r="M36" i="20" s="1"/>
  <c r="H43" i="20"/>
  <c r="M37" i="20"/>
  <c r="AI67" i="8"/>
  <c r="AJ66" i="8"/>
  <c r="E76" i="14"/>
  <c r="F76" i="14" s="1"/>
  <c r="F75" i="14"/>
  <c r="G69" i="8"/>
  <c r="H69" i="8" s="1"/>
  <c r="H68" i="8"/>
  <c r="F65" i="8"/>
  <c r="E66" i="8"/>
  <c r="Q66" i="8"/>
  <c r="R65" i="8"/>
  <c r="M40" i="10"/>
  <c r="N39" i="10"/>
  <c r="S67" i="8"/>
  <c r="T66" i="8"/>
  <c r="K65" i="9"/>
  <c r="L64" i="9"/>
  <c r="G39" i="22"/>
  <c r="I40" i="22" s="1"/>
  <c r="J40" i="22" s="1"/>
  <c r="H39" i="22"/>
  <c r="F40" i="22"/>
  <c r="W42" i="10"/>
  <c r="X41" i="10"/>
  <c r="P68" i="8"/>
  <c r="O69" i="8"/>
  <c r="P69" i="8" s="1"/>
  <c r="V42" i="10"/>
  <c r="U43" i="10"/>
  <c r="V43" i="10" s="1"/>
  <c r="M66" i="8"/>
  <c r="N65" i="8"/>
  <c r="G24" i="29" l="1"/>
  <c r="G23" i="29"/>
  <c r="O72" i="8"/>
  <c r="O71" i="8"/>
  <c r="N66" i="8"/>
  <c r="M67" i="8"/>
  <c r="M41" i="10"/>
  <c r="N40" i="10"/>
  <c r="D67" i="8"/>
  <c r="C68" i="8"/>
  <c r="G43" i="23"/>
  <c r="H43" i="23" s="1"/>
  <c r="H44" i="23" s="1"/>
  <c r="F42" i="23"/>
  <c r="E43" i="23"/>
  <c r="F43" i="23" s="1"/>
  <c r="A75" i="14"/>
  <c r="B74" i="14"/>
  <c r="V66" i="8"/>
  <c r="U67" i="8"/>
  <c r="AM72" i="8"/>
  <c r="AM71" i="8"/>
  <c r="AH66" i="8"/>
  <c r="AG67" i="8"/>
  <c r="W43" i="10"/>
  <c r="X43" i="10" s="1"/>
  <c r="X42" i="10"/>
  <c r="T67" i="8"/>
  <c r="S68" i="8"/>
  <c r="R66" i="8"/>
  <c r="Q67" i="8"/>
  <c r="Z66" i="8"/>
  <c r="Y67" i="8"/>
  <c r="AE43" i="10"/>
  <c r="AF43" i="10" s="1"/>
  <c r="AF42" i="10"/>
  <c r="AA43" i="10"/>
  <c r="AB43" i="10" s="1"/>
  <c r="AB42" i="10"/>
  <c r="C66" i="5"/>
  <c r="D65" i="5"/>
  <c r="W72" i="8"/>
  <c r="W71" i="8"/>
  <c r="S42" i="10"/>
  <c r="T41" i="10"/>
  <c r="AD40" i="10"/>
  <c r="AC41" i="10"/>
  <c r="X74" i="14"/>
  <c r="W75" i="14"/>
  <c r="AD66" i="8"/>
  <c r="AC67" i="8"/>
  <c r="I75" i="14"/>
  <c r="J74" i="14"/>
  <c r="P73" i="14"/>
  <c r="O74" i="14"/>
  <c r="C21" i="29"/>
  <c r="G72" i="8"/>
  <c r="G71" i="8"/>
  <c r="AJ67" i="8"/>
  <c r="AI68" i="8"/>
  <c r="U76" i="14"/>
  <c r="V76" i="14" s="1"/>
  <c r="V75" i="14"/>
  <c r="S74" i="14"/>
  <c r="T73" i="14"/>
  <c r="O43" i="10"/>
  <c r="P43" i="10" s="1"/>
  <c r="P42" i="10"/>
  <c r="G64" i="5"/>
  <c r="H63" i="5"/>
  <c r="G66" i="9"/>
  <c r="H65" i="9"/>
  <c r="J66" i="8"/>
  <c r="I67" i="8"/>
  <c r="K66" i="9"/>
  <c r="L65" i="9"/>
  <c r="N43" i="20"/>
  <c r="N41" i="20"/>
  <c r="N42" i="20"/>
  <c r="N44" i="20"/>
  <c r="N40" i="20"/>
  <c r="H40" i="22"/>
  <c r="G40" i="22"/>
  <c r="F41" i="22" s="1"/>
  <c r="F66" i="8"/>
  <c r="E67" i="8"/>
  <c r="K74" i="14"/>
  <c r="L73" i="14"/>
  <c r="C68" i="9"/>
  <c r="D67" i="9"/>
  <c r="M74" i="14"/>
  <c r="N73" i="14"/>
  <c r="AE72" i="8"/>
  <c r="AE71" i="8"/>
  <c r="E65" i="5"/>
  <c r="F64" i="5"/>
  <c r="U46" i="10"/>
  <c r="U45" i="10"/>
  <c r="E79" i="14"/>
  <c r="E78" i="14"/>
  <c r="L41" i="10"/>
  <c r="K42" i="10"/>
  <c r="Q74" i="14"/>
  <c r="R73" i="14"/>
  <c r="H73" i="14"/>
  <c r="G74" i="14"/>
  <c r="AL66" i="8"/>
  <c r="AK67" i="8"/>
  <c r="C74" i="14"/>
  <c r="D73" i="14"/>
  <c r="AB67" i="8"/>
  <c r="AA68" i="8"/>
  <c r="O66" i="9"/>
  <c r="P65" i="9"/>
  <c r="Q41" i="10"/>
  <c r="R40" i="10"/>
  <c r="L67" i="8"/>
  <c r="K68" i="8"/>
  <c r="G41" i="22" l="1"/>
  <c r="H41" i="22"/>
  <c r="I42" i="22"/>
  <c r="J42" i="22" s="1"/>
  <c r="F42" i="22"/>
  <c r="G67" i="9"/>
  <c r="H66" i="9"/>
  <c r="I76" i="14"/>
  <c r="J76" i="14" s="1"/>
  <c r="J75" i="14"/>
  <c r="C67" i="5"/>
  <c r="D66" i="5"/>
  <c r="W46" i="10"/>
  <c r="W45" i="10"/>
  <c r="K69" i="8"/>
  <c r="L69" i="8" s="1"/>
  <c r="L68" i="8"/>
  <c r="H74" i="14"/>
  <c r="G75" i="14"/>
  <c r="K43" i="10"/>
  <c r="L43" i="10" s="1"/>
  <c r="L42" i="10"/>
  <c r="O67" i="9"/>
  <c r="P66" i="9"/>
  <c r="C75" i="14"/>
  <c r="D74" i="14"/>
  <c r="C69" i="9"/>
  <c r="D69" i="9" s="1"/>
  <c r="D68" i="9"/>
  <c r="F67" i="8"/>
  <c r="E68" i="8"/>
  <c r="I41" i="22"/>
  <c r="J41" i="22" s="1"/>
  <c r="T74" i="14"/>
  <c r="S75" i="14"/>
  <c r="AI69" i="8"/>
  <c r="AJ69" i="8" s="1"/>
  <c r="AJ68" i="8"/>
  <c r="B27" i="29"/>
  <c r="E21" i="29"/>
  <c r="B28" i="29"/>
  <c r="D21" i="29"/>
  <c r="B29" i="29" s="1"/>
  <c r="X75" i="14"/>
  <c r="W76" i="14"/>
  <c r="X76" i="14" s="1"/>
  <c r="Q68" i="8"/>
  <c r="R67" i="8"/>
  <c r="AK68" i="8"/>
  <c r="AL67" i="8"/>
  <c r="O46" i="10"/>
  <c r="O45" i="10"/>
  <c r="S43" i="10"/>
  <c r="T43" i="10" s="1"/>
  <c r="T42" i="10"/>
  <c r="M42" i="10"/>
  <c r="N41" i="10"/>
  <c r="Q42" i="10"/>
  <c r="R41" i="10"/>
  <c r="Q75" i="14"/>
  <c r="R74" i="14"/>
  <c r="E66" i="5"/>
  <c r="F65" i="5"/>
  <c r="M75" i="14"/>
  <c r="N74" i="14"/>
  <c r="I68" i="8"/>
  <c r="J67" i="8"/>
  <c r="U79" i="14"/>
  <c r="U78" i="14"/>
  <c r="AC68" i="8"/>
  <c r="AD67" i="8"/>
  <c r="AC42" i="10"/>
  <c r="AD41" i="10"/>
  <c r="Z67" i="8"/>
  <c r="Y68" i="8"/>
  <c r="T68" i="8"/>
  <c r="S69" i="8"/>
  <c r="T69" i="8" s="1"/>
  <c r="AG68" i="8"/>
  <c r="AH67" i="8"/>
  <c r="A76" i="14"/>
  <c r="B76" i="14" s="1"/>
  <c r="B75" i="14"/>
  <c r="C69" i="8"/>
  <c r="D69" i="8" s="1"/>
  <c r="D68" i="8"/>
  <c r="M68" i="8"/>
  <c r="N67" i="8"/>
  <c r="AA69" i="8"/>
  <c r="AB69" i="8" s="1"/>
  <c r="AB68" i="8"/>
  <c r="K67" i="9"/>
  <c r="L66" i="9"/>
  <c r="O75" i="14"/>
  <c r="P74" i="14"/>
  <c r="AE46" i="10"/>
  <c r="AE45" i="10"/>
  <c r="K75" i="14"/>
  <c r="L74" i="14"/>
  <c r="G65" i="5"/>
  <c r="H64" i="5"/>
  <c r="AA46" i="10"/>
  <c r="AA45" i="10"/>
  <c r="V67" i="8"/>
  <c r="U68" i="8"/>
  <c r="V68" i="8" l="1"/>
  <c r="U69" i="8"/>
  <c r="V69" i="8" s="1"/>
  <c r="S72" i="8"/>
  <c r="S71" i="8"/>
  <c r="E67" i="5"/>
  <c r="F66" i="5"/>
  <c r="Q43" i="10"/>
  <c r="R43" i="10" s="1"/>
  <c r="R42" i="10"/>
  <c r="S46" i="10"/>
  <c r="S45" i="10"/>
  <c r="AL68" i="8"/>
  <c r="AK69" i="8"/>
  <c r="AL69" i="8" s="1"/>
  <c r="B30" i="29"/>
  <c r="C72" i="9"/>
  <c r="C71" i="9"/>
  <c r="O68" i="9"/>
  <c r="P67" i="9"/>
  <c r="I79" i="14"/>
  <c r="I78" i="14"/>
  <c r="I43" i="22"/>
  <c r="J43" i="22" s="1"/>
  <c r="J44" i="22" s="1"/>
  <c r="H42" i="22"/>
  <c r="G42" i="22"/>
  <c r="F43" i="22" s="1"/>
  <c r="Z68" i="8"/>
  <c r="Y69" i="8"/>
  <c r="Z69" i="8" s="1"/>
  <c r="M76" i="14"/>
  <c r="N76" i="14" s="1"/>
  <c r="N75" i="14"/>
  <c r="M43" i="10"/>
  <c r="N43" i="10" s="1"/>
  <c r="N42" i="10"/>
  <c r="C76" i="14"/>
  <c r="D76" i="14" s="1"/>
  <c r="D75" i="14"/>
  <c r="G66" i="5"/>
  <c r="H65" i="5"/>
  <c r="K68" i="9"/>
  <c r="L67" i="9"/>
  <c r="N68" i="8"/>
  <c r="M69" i="8"/>
  <c r="N69" i="8" s="1"/>
  <c r="A79" i="14"/>
  <c r="A78" i="14"/>
  <c r="AC43" i="10"/>
  <c r="AD43" i="10" s="1"/>
  <c r="AD42" i="10"/>
  <c r="B31" i="29"/>
  <c r="AI72" i="8"/>
  <c r="AI71" i="8"/>
  <c r="F68" i="8"/>
  <c r="E69" i="8"/>
  <c r="F69" i="8" s="1"/>
  <c r="Q76" i="14"/>
  <c r="R76" i="14" s="1"/>
  <c r="R75" i="14"/>
  <c r="R68" i="8"/>
  <c r="Q69" i="8"/>
  <c r="R69" i="8" s="1"/>
  <c r="S76" i="14"/>
  <c r="T76" i="14" s="1"/>
  <c r="T75" i="14"/>
  <c r="K46" i="10"/>
  <c r="K45" i="10"/>
  <c r="K72" i="8"/>
  <c r="K71" i="8"/>
  <c r="C68" i="5"/>
  <c r="D67" i="5"/>
  <c r="G68" i="9"/>
  <c r="H67" i="9"/>
  <c r="K76" i="14"/>
  <c r="L76" i="14" s="1"/>
  <c r="L75" i="14"/>
  <c r="P75" i="14"/>
  <c r="O76" i="14"/>
  <c r="P76" i="14" s="1"/>
  <c r="AA72" i="8"/>
  <c r="AA71" i="8"/>
  <c r="C72" i="8"/>
  <c r="C71" i="8"/>
  <c r="AH68" i="8"/>
  <c r="AG69" i="8"/>
  <c r="AH69" i="8" s="1"/>
  <c r="AD68" i="8"/>
  <c r="AC69" i="8"/>
  <c r="AD69" i="8" s="1"/>
  <c r="J68" i="8"/>
  <c r="I69" i="8"/>
  <c r="J69" i="8" s="1"/>
  <c r="W79" i="14"/>
  <c r="W78" i="14"/>
  <c r="G76" i="14"/>
  <c r="H76" i="14" s="1"/>
  <c r="H75" i="14"/>
  <c r="O37" i="22" l="1"/>
  <c r="H43" i="22"/>
  <c r="G43" i="22"/>
  <c r="O36" i="22" s="1"/>
  <c r="AC46" i="10"/>
  <c r="AC45" i="10"/>
  <c r="G67" i="5"/>
  <c r="H66" i="5"/>
  <c r="O69" i="9"/>
  <c r="P69" i="9" s="1"/>
  <c r="P68" i="9"/>
  <c r="G79" i="14"/>
  <c r="G78" i="14"/>
  <c r="K79" i="14"/>
  <c r="K78" i="14"/>
  <c r="Q72" i="8"/>
  <c r="Q71" i="8"/>
  <c r="E72" i="8"/>
  <c r="E71" i="8"/>
  <c r="K69" i="9"/>
  <c r="L69" i="9" s="1"/>
  <c r="L68" i="9"/>
  <c r="C79" i="14"/>
  <c r="C78" i="14"/>
  <c r="M79" i="14"/>
  <c r="M78" i="14"/>
  <c r="AC72" i="8"/>
  <c r="AC71" i="8"/>
  <c r="O79" i="14"/>
  <c r="O78" i="14"/>
  <c r="D68" i="5"/>
  <c r="C69" i="5"/>
  <c r="M72" i="8"/>
  <c r="M71" i="8"/>
  <c r="Y72" i="8"/>
  <c r="Y71" i="8"/>
  <c r="K42" i="22"/>
  <c r="E68" i="5"/>
  <c r="F67" i="5"/>
  <c r="U72" i="8"/>
  <c r="U71" i="8"/>
  <c r="M46" i="10"/>
  <c r="M45" i="10"/>
  <c r="AK72" i="8"/>
  <c r="AK71" i="8"/>
  <c r="I72" i="8"/>
  <c r="I71" i="8"/>
  <c r="AG72" i="8"/>
  <c r="AG71" i="8"/>
  <c r="G69" i="9"/>
  <c r="H69" i="9" s="1"/>
  <c r="H68" i="9"/>
  <c r="S79" i="14"/>
  <c r="S78" i="14"/>
  <c r="Q79" i="14"/>
  <c r="Q78" i="14"/>
  <c r="Q46" i="10"/>
  <c r="Q45" i="10"/>
  <c r="K40" i="22"/>
  <c r="O72" i="9" l="1"/>
  <c r="O71" i="9"/>
  <c r="G72" i="9"/>
  <c r="G71" i="9"/>
  <c r="F68" i="5"/>
  <c r="E69" i="5"/>
  <c r="F69" i="5" s="1"/>
  <c r="K72" i="9"/>
  <c r="K71" i="9"/>
  <c r="G68" i="5"/>
  <c r="H67" i="5"/>
  <c r="K43" i="22"/>
  <c r="K41" i="22"/>
  <c r="K44" i="22" s="1"/>
  <c r="D69" i="5"/>
  <c r="B75" i="5"/>
  <c r="B76" i="5" s="1"/>
  <c r="B77" i="5" s="1"/>
  <c r="B78" i="5" s="1"/>
  <c r="B79" i="5" s="1"/>
  <c r="O42" i="22"/>
  <c r="O44" i="22"/>
  <c r="O43" i="22"/>
  <c r="O41" i="22"/>
  <c r="O40" i="22"/>
  <c r="E72" i="5" l="1"/>
  <c r="E71" i="5"/>
  <c r="C72" i="5"/>
  <c r="C71" i="5"/>
  <c r="H68" i="5"/>
  <c r="G69" i="5"/>
  <c r="H69" i="5" s="1"/>
  <c r="G72" i="5" l="1"/>
  <c r="G7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tc={4673A2A3-AAB3-4B5E-B6E3-F472A4F6BF9A}</author>
  </authors>
  <commentList>
    <comment ref="L13" authorId="0" shapeId="0" xr:uid="{4673A2A3-AAB3-4B5E-B6E3-F472A4F6BF9A}">
      <text>
        <t>[Threaded comment]
Your version of Excel allows you to read this threaded comment; however, any edits to it will get removed if the file is opened in a newer version of Excel. Learn more: https://go.microsoft.com/fwlink/?linkid=870924
Comment:
    3</t>
      </text>
    </comment>
  </commentList>
</comments>
</file>

<file path=xl/sharedStrings.xml><?xml version="1.0" encoding="utf-8"?>
<sst xmlns="http://schemas.openxmlformats.org/spreadsheetml/2006/main" count="1248" uniqueCount="203">
  <si>
    <t>History Horizon</t>
  </si>
  <si>
    <t>Product 1</t>
  </si>
  <si>
    <t>Product 2</t>
  </si>
  <si>
    <t>Product 3</t>
  </si>
  <si>
    <t>Product 4</t>
  </si>
  <si>
    <t>Product 5</t>
  </si>
  <si>
    <t>MAD</t>
  </si>
  <si>
    <t>Moving Average Forecasting</t>
  </si>
  <si>
    <t>Exponential Smoothing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</si>
  <si>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</si>
  <si>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</si>
  <si>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</si>
  <si>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</si>
  <si>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</si>
  <si>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</si>
  <si>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</si>
  <si>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</si>
  <si>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</si>
  <si>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</si>
  <si>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</si>
  <si>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</si>
  <si>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</si>
  <si>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</si>
  <si>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</si>
  <si>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</si>
  <si>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</si>
  <si>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</si>
  <si>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</si>
  <si>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</si>
  <si>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</si>
  <si>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</si>
  <si>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</si>
  <si>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</si>
  <si>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Absolute Difference</t>
  </si>
  <si>
    <t>-</t>
  </si>
  <si>
    <t>RESIDUAL OUTPUT</t>
  </si>
  <si>
    <t>Observation</t>
  </si>
  <si>
    <t>Predicted Y</t>
  </si>
  <si>
    <t>Residuals</t>
  </si>
  <si>
    <t>PROBABILITY OUTPUT</t>
  </si>
  <si>
    <t>Percentile</t>
  </si>
  <si>
    <t>Y</t>
  </si>
  <si>
    <t>Forecast</t>
  </si>
  <si>
    <t>Trend</t>
  </si>
  <si>
    <t>FIT</t>
  </si>
  <si>
    <t>α</t>
  </si>
  <si>
    <t>β</t>
  </si>
  <si>
    <t>Exponential Smoothing with Trend</t>
  </si>
  <si>
    <t>γ</t>
  </si>
  <si>
    <t>Exponential - Trend Adjustment</t>
  </si>
  <si>
    <t>T</t>
  </si>
  <si>
    <t>B</t>
  </si>
  <si>
    <t>S</t>
  </si>
  <si>
    <t>Exponential Smoothing with Seasonality &amp; Trend</t>
  </si>
  <si>
    <t>δ</t>
  </si>
  <si>
    <t>Period</t>
  </si>
  <si>
    <t>Moving Average</t>
  </si>
  <si>
    <t>Abs Difference</t>
  </si>
  <si>
    <t>Min MAD</t>
  </si>
  <si>
    <t>Exponential Smoothing with Trend adjustment</t>
  </si>
  <si>
    <t>Seasonality</t>
  </si>
  <si>
    <t>Seasonality - Trend Adjustment</t>
  </si>
  <si>
    <t>Normalised S</t>
  </si>
  <si>
    <t>Regression Analysis</t>
  </si>
  <si>
    <t>Slope</t>
  </si>
  <si>
    <t>Level</t>
  </si>
  <si>
    <t>Seasonality index</t>
  </si>
  <si>
    <t>Forecast as (Lt +p*Bt)*St+p-l</t>
  </si>
  <si>
    <t>Error</t>
  </si>
  <si>
    <t>t</t>
  </si>
  <si>
    <t>current time period</t>
  </si>
  <si>
    <t>h</t>
  </si>
  <si>
    <t>timestamp</t>
  </si>
  <si>
    <t>m</t>
  </si>
  <si>
    <t>frequency of seasonality, 4</t>
  </si>
  <si>
    <t>Product Type</t>
  </si>
  <si>
    <t>Forecasting method</t>
  </si>
  <si>
    <t>Moving average (2 weeks period)</t>
  </si>
  <si>
    <t>Moving average (4 weeks period)</t>
  </si>
  <si>
    <t>Moving average (5 weeks period)</t>
  </si>
  <si>
    <t>Expoenential Smoothing with Trend Adjustment</t>
  </si>
  <si>
    <t>Seasonality without Trend Adjustment</t>
  </si>
  <si>
    <t>Seasonality with Trend Adjustment</t>
  </si>
  <si>
    <t>Exponential Smoothing without Trend Adjustment</t>
  </si>
  <si>
    <t>Moving average (8 weeks period)</t>
  </si>
  <si>
    <t>MAD (1-20 weeks)</t>
  </si>
  <si>
    <t>MAD (weeks 1-20)</t>
  </si>
  <si>
    <t>Average</t>
  </si>
  <si>
    <t>Average MAD</t>
  </si>
  <si>
    <t>Moving average (6 weeks period)</t>
  </si>
  <si>
    <t>Holt Winter's</t>
  </si>
  <si>
    <t>MAD (weeks 1-10)</t>
  </si>
  <si>
    <t>MAD (weeks 11-20)</t>
  </si>
  <si>
    <t>Exponential Smoothing with Trend Adjustment</t>
  </si>
  <si>
    <t>Weeks</t>
  </si>
  <si>
    <t>Sum</t>
  </si>
  <si>
    <t>Chosen Strategy Cost</t>
  </si>
  <si>
    <t>Level Startegy Cost</t>
  </si>
  <si>
    <t>Chase strategy Cost</t>
  </si>
  <si>
    <t>Total Cost</t>
  </si>
  <si>
    <t>Undertime</t>
  </si>
  <si>
    <t>Backorders</t>
  </si>
  <si>
    <t>Units Produced</t>
  </si>
  <si>
    <t>Workers needed</t>
  </si>
  <si>
    <t>Workers currently employed</t>
  </si>
  <si>
    <t>Workers fired</t>
  </si>
  <si>
    <t>Production required per week</t>
  </si>
  <si>
    <t>Ending Inventory</t>
  </si>
  <si>
    <t>No subcontracting</t>
  </si>
  <si>
    <t>Beginning Inventory</t>
  </si>
  <si>
    <t>No overtime</t>
  </si>
  <si>
    <t>Updated Demand Forecast</t>
  </si>
  <si>
    <t>Demand Forecast</t>
  </si>
  <si>
    <t>Layoff cost per employee</t>
  </si>
  <si>
    <t>Costs</t>
  </si>
  <si>
    <t>Week</t>
  </si>
  <si>
    <t>Hiring cost per employee</t>
  </si>
  <si>
    <t>Level Policy</t>
  </si>
  <si>
    <t>Undertime cost per min</t>
  </si>
  <si>
    <t>Backorder cost per unit per week</t>
  </si>
  <si>
    <t>Holding Cost per unit per week (based on Ending Inventory)</t>
  </si>
  <si>
    <t>Regular Production Cost per unit</t>
  </si>
  <si>
    <t>Manufacturing Costs</t>
  </si>
  <si>
    <t>Workers hired</t>
  </si>
  <si>
    <t>Required time per worker per week to produce 1 unit of Product 2</t>
  </si>
  <si>
    <t xml:space="preserve">Initial workforce </t>
  </si>
  <si>
    <t>Regular production units per worker per week</t>
  </si>
  <si>
    <t>Working weeks per year</t>
  </si>
  <si>
    <t>Manufacturing days per week</t>
  </si>
  <si>
    <t>Manufacturing minutes per day</t>
  </si>
  <si>
    <t>Manufacturing Policies</t>
  </si>
  <si>
    <t>Chase Policy</t>
  </si>
  <si>
    <t>Demand Forecast - Product Type 5</t>
  </si>
  <si>
    <t>Demand Forecast - Product Type 4</t>
  </si>
  <si>
    <t>Demand Forecast - Product Type 3</t>
  </si>
  <si>
    <t>Demand Forecast - Product Type 2</t>
  </si>
  <si>
    <t>Demand Forecast - Product Type 1</t>
  </si>
  <si>
    <t>Master Planning Schedule</t>
  </si>
  <si>
    <t>Planned Order Release</t>
  </si>
  <si>
    <t>Planned Order Receipt</t>
  </si>
  <si>
    <t>Net requirement</t>
  </si>
  <si>
    <t>PAB / 450</t>
  </si>
  <si>
    <t>Scheduled Receipts</t>
  </si>
  <si>
    <t>Gross Requirement</t>
  </si>
  <si>
    <t>Past Due</t>
  </si>
  <si>
    <t>LT</t>
  </si>
  <si>
    <t>Q</t>
  </si>
  <si>
    <t>Sub Product 1 MRP</t>
  </si>
  <si>
    <t>PAB / 650</t>
  </si>
  <si>
    <t>L4L</t>
  </si>
  <si>
    <t>Sub Product 4</t>
  </si>
  <si>
    <t>Sub Product 4 MRP</t>
  </si>
  <si>
    <t>Sub Product 3</t>
  </si>
  <si>
    <t>Sub Product 2</t>
  </si>
  <si>
    <t>Sub Product 1</t>
  </si>
  <si>
    <t>Level I Bill of Material Requirements Matrix</t>
  </si>
  <si>
    <t>PAB / 150</t>
  </si>
  <si>
    <t>Sub Product 2 MRP</t>
  </si>
  <si>
    <t>Level 0 Bill of Material Requirements Matrix</t>
  </si>
  <si>
    <t>PAB / 200</t>
  </si>
  <si>
    <t>Fixed 2 period</t>
  </si>
  <si>
    <t>Sub Product 3 MRP</t>
  </si>
  <si>
    <t>Standard total time/unit</t>
  </si>
  <si>
    <t>Standard Setup Time/unit</t>
  </si>
  <si>
    <t>Setup Time/lot</t>
  </si>
  <si>
    <t>Processing Time/unit</t>
  </si>
  <si>
    <t>Work Center</t>
  </si>
  <si>
    <t>Fixed 2</t>
  </si>
  <si>
    <t>Total available time after downtime</t>
  </si>
  <si>
    <t>Downtime</t>
  </si>
  <si>
    <t>No. of Failures</t>
  </si>
  <si>
    <t>Repair Time</t>
  </si>
  <si>
    <t>Time between Failures</t>
  </si>
  <si>
    <t>No. of available hours per machine per week</t>
  </si>
  <si>
    <t>No. of machines per work center</t>
  </si>
  <si>
    <t>Additional machines needed</t>
  </si>
  <si>
    <t>Machines per work center</t>
  </si>
  <si>
    <t xml:space="preserve">Average machines needed per work center </t>
  </si>
  <si>
    <t>Available time/machine after considering Downtime</t>
  </si>
  <si>
    <t>Number of machines required for production</t>
  </si>
  <si>
    <t>Total capacity required per work center</t>
  </si>
  <si>
    <t>Sub-Product Type 4</t>
  </si>
  <si>
    <t>Sub-Product Type 3</t>
  </si>
  <si>
    <t>Sub-Product Type 2</t>
  </si>
  <si>
    <t>Resale cost/machine</t>
  </si>
  <si>
    <t>Sub-Product Type 1</t>
  </si>
  <si>
    <t>Buying cost/machine</t>
  </si>
  <si>
    <t>Total cost</t>
  </si>
  <si>
    <t>Total Machine resale cost</t>
  </si>
  <si>
    <t>Total Machine buying cost</t>
  </si>
  <si>
    <t>Total Regular Cost</t>
  </si>
  <si>
    <t>Regular Cost</t>
  </si>
  <si>
    <t>Cost</t>
  </si>
  <si>
    <t>No. of machines</t>
  </si>
  <si>
    <t>Capacity Planning</t>
  </si>
  <si>
    <t>MAD for  2-10</t>
  </si>
  <si>
    <t>MAD for  1-10</t>
  </si>
  <si>
    <t>STANDRD DEVIATION</t>
  </si>
  <si>
    <t>MEDIAN</t>
  </si>
  <si>
    <t>MEAN</t>
  </si>
  <si>
    <t>Timesteps</t>
  </si>
  <si>
    <t>Difference</t>
  </si>
  <si>
    <t>Total available time after downtime/machine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</si>
</sst>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"/>
    <numFmt numFmtId="166" formatCode="0.0000000"/>
    <numFmt numFmtId="167" formatCode="0.0000"/>
    <numFmt numFmtId="168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0"/>
      <name val="Times New Roman"/>
      <family val="1"/>
    </font>
    <font>
      <sz val="11"/>
      <name val="Times New Roman"/>
      <family val="1"/>
    </font>
    <font>
      <b/>
      <sz val="11"/>
      <color theme="0"/>
      <name val="Calibri"/>
      <family val="2"/>
    </font>
    <font>
      <b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b/>
      <sz val="1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i/>
      <sz val="11"/>
      <color theme="1"/>
      <name val="Times New Roman"/>
      <family val="1"/>
    </font>
    <font>
      <sz val="11"/>
      <color theme="0"/>
      <name val="Times New Roman"/>
      <family val="1"/>
    </font>
    <font>
      <sz val="11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2E706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6" fillId="0" borderId="0"/>
  </cellStyleXfs>
  <cellXfs count="332">
    <xf numFmtId="0" fontId="0" fillId="0" borderId="0" xfId="0"/>
    <xf numFmtId="0" fontId="1" fillId="0" borderId="0" xfId="0" applyFont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0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164" fontId="1" fillId="0" borderId="12" xfId="0" applyNumberFormat="1" applyFont="1" applyBorder="1"/>
    <xf numFmtId="164" fontId="1" fillId="0" borderId="7" xfId="0" applyNumberFormat="1" applyFont="1" applyBorder="1"/>
    <xf numFmtId="164" fontId="1" fillId="0" borderId="0" xfId="0" applyNumberFormat="1" applyFont="1"/>
    <xf numFmtId="0" fontId="1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13" xfId="0" applyFont="1" applyFill="1" applyBorder="1" applyAlignment="1">
      <alignment horizontal="centerContinuous"/>
    </xf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2" fillId="0" borderId="13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3" fillId="0" borderId="2" xfId="0" applyFont="1" applyBorder="1"/>
    <xf numFmtId="0" fontId="1" fillId="0" borderId="15" xfId="0" applyFont="1" applyBorder="1"/>
    <xf numFmtId="165" fontId="1" fillId="0" borderId="0" xfId="0" applyNumberFormat="1" applyFont="1"/>
    <xf numFmtId="2" fontId="1" fillId="0" borderId="0" xfId="0" applyNumberFormat="1" applyFont="1"/>
    <xf numFmtId="0" fontId="3" fillId="0" borderId="1" xfId="0" applyFont="1" applyBorder="1"/>
    <xf numFmtId="0" fontId="1" fillId="0" borderId="16" xfId="0" applyFont="1" applyBorder="1"/>
    <xf numFmtId="165" fontId="1" fillId="0" borderId="7" xfId="0" applyNumberFormat="1" applyFont="1" applyBorder="1"/>
    <xf numFmtId="165" fontId="1" fillId="0" borderId="9" xfId="0" applyNumberFormat="1" applyFont="1" applyBorder="1"/>
    <xf numFmtId="165" fontId="1" fillId="0" borderId="14" xfId="0" applyNumberFormat="1" applyFont="1" applyBorder="1"/>
    <xf numFmtId="165" fontId="1" fillId="0" borderId="11" xfId="0" applyNumberFormat="1" applyFont="1" applyBorder="1"/>
    <xf numFmtId="165" fontId="1" fillId="0" borderId="0" xfId="0" applyNumberFormat="1" applyFont="1" applyBorder="1"/>
    <xf numFmtId="165" fontId="1" fillId="0" borderId="10" xfId="0" applyNumberFormat="1" applyFont="1" applyBorder="1"/>
    <xf numFmtId="165" fontId="1" fillId="0" borderId="12" xfId="0" applyNumberFormat="1" applyFont="1" applyBorder="1"/>
    <xf numFmtId="165" fontId="1" fillId="0" borderId="15" xfId="0" applyNumberFormat="1" applyFont="1" applyBorder="1"/>
    <xf numFmtId="165" fontId="1" fillId="0" borderId="8" xfId="0" applyNumberFormat="1" applyFont="1" applyBorder="1"/>
    <xf numFmtId="165" fontId="1" fillId="0" borderId="16" xfId="0" applyNumberFormat="1" applyFont="1" applyBorder="1"/>
    <xf numFmtId="165" fontId="1" fillId="0" borderId="5" xfId="0" applyNumberFormat="1" applyFont="1" applyBorder="1"/>
    <xf numFmtId="165" fontId="1" fillId="0" borderId="6" xfId="0" applyNumberFormat="1" applyFont="1" applyBorder="1"/>
    <xf numFmtId="0" fontId="3" fillId="0" borderId="3" xfId="0" applyFont="1" applyBorder="1"/>
    <xf numFmtId="0" fontId="1" fillId="0" borderId="10" xfId="0" applyFont="1" applyBorder="1"/>
    <xf numFmtId="0" fontId="1" fillId="0" borderId="4" xfId="0" applyFont="1" applyBorder="1" applyAlignment="1">
      <alignment horizontal="center"/>
    </xf>
    <xf numFmtId="167" fontId="1" fillId="0" borderId="14" xfId="0" applyNumberFormat="1" applyFont="1" applyBorder="1"/>
    <xf numFmtId="167" fontId="1" fillId="0" borderId="0" xfId="0" applyNumberFormat="1" applyFont="1" applyBorder="1"/>
    <xf numFmtId="167" fontId="1" fillId="0" borderId="8" xfId="0" applyNumberFormat="1" applyFont="1" applyBorder="1"/>
    <xf numFmtId="166" fontId="1" fillId="0" borderId="1" xfId="0" applyNumberFormat="1" applyFont="1" applyBorder="1"/>
    <xf numFmtId="165" fontId="1" fillId="0" borderId="0" xfId="0" applyNumberFormat="1" applyFont="1" applyBorder="1" applyAlignment="1"/>
    <xf numFmtId="164" fontId="1" fillId="0" borderId="10" xfId="0" applyNumberFormat="1" applyFont="1" applyBorder="1"/>
    <xf numFmtId="164" fontId="1" fillId="0" borderId="14" xfId="0" applyNumberFormat="1" applyFont="1" applyBorder="1"/>
    <xf numFmtId="164" fontId="1" fillId="0" borderId="0" xfId="0" applyNumberFormat="1" applyFont="1" applyBorder="1"/>
    <xf numFmtId="164" fontId="1" fillId="0" borderId="15" xfId="0" applyNumberFormat="1" applyFont="1" applyBorder="1"/>
    <xf numFmtId="164" fontId="1" fillId="0" borderId="8" xfId="0" applyNumberFormat="1" applyFont="1" applyBorder="1"/>
    <xf numFmtId="0" fontId="1" fillId="0" borderId="17" xfId="0" applyFont="1" applyBorder="1"/>
    <xf numFmtId="16" fontId="1" fillId="0" borderId="0" xfId="0" applyNumberFormat="1" applyFont="1"/>
    <xf numFmtId="167" fontId="1" fillId="0" borderId="0" xfId="0" applyNumberFormat="1" applyFont="1"/>
    <xf numFmtId="0" fontId="4" fillId="2" borderId="1" xfId="0" applyFont="1" applyFill="1" applyBorder="1"/>
    <xf numFmtId="0" fontId="4" fillId="2" borderId="4" xfId="0" applyFont="1" applyFill="1" applyBorder="1"/>
    <xf numFmtId="0" fontId="1" fillId="0" borderId="20" xfId="0" applyNumberFormat="1" applyFont="1" applyBorder="1"/>
    <xf numFmtId="165" fontId="1" fillId="0" borderId="21" xfId="0" applyNumberFormat="1" applyFont="1" applyBorder="1"/>
    <xf numFmtId="0" fontId="1" fillId="0" borderId="22" xfId="0" applyNumberFormat="1" applyFont="1" applyBorder="1"/>
    <xf numFmtId="0" fontId="1" fillId="0" borderId="23" xfId="0" applyFont="1" applyBorder="1"/>
    <xf numFmtId="165" fontId="1" fillId="0" borderId="24" xfId="0" applyNumberFormat="1" applyFont="1" applyBorder="1"/>
    <xf numFmtId="0" fontId="1" fillId="0" borderId="25" xfId="0" applyNumberFormat="1" applyFont="1" applyBorder="1"/>
    <xf numFmtId="0" fontId="1" fillId="0" borderId="26" xfId="0" applyFont="1" applyBorder="1"/>
    <xf numFmtId="165" fontId="1" fillId="0" borderId="27" xfId="0" applyNumberFormat="1" applyFont="1" applyBorder="1"/>
    <xf numFmtId="2" fontId="4" fillId="2" borderId="28" xfId="0" applyNumberFormat="1" applyFont="1" applyFill="1" applyBorder="1"/>
    <xf numFmtId="0" fontId="6" fillId="2" borderId="29" xfId="0" applyFont="1" applyFill="1" applyBorder="1"/>
    <xf numFmtId="0" fontId="4" fillId="2" borderId="30" xfId="0" applyFont="1" applyFill="1" applyBorder="1"/>
    <xf numFmtId="0" fontId="4" fillId="2" borderId="18" xfId="0" applyFont="1" applyFill="1" applyBorder="1"/>
    <xf numFmtId="165" fontId="4" fillId="2" borderId="19" xfId="0" applyNumberFormat="1" applyFont="1" applyFill="1" applyBorder="1"/>
    <xf numFmtId="0" fontId="4" fillId="2" borderId="22" xfId="0" applyFont="1" applyFill="1" applyBorder="1"/>
    <xf numFmtId="165" fontId="4" fillId="2" borderId="24" xfId="0" applyNumberFormat="1" applyFont="1" applyFill="1" applyBorder="1"/>
    <xf numFmtId="0" fontId="4" fillId="2" borderId="2" xfId="0" applyFont="1" applyFill="1" applyBorder="1"/>
    <xf numFmtId="165" fontId="1" fillId="3" borderId="3" xfId="0" applyNumberFormat="1" applyFont="1" applyFill="1" applyBorder="1" applyAlignment="1"/>
    <xf numFmtId="165" fontId="1" fillId="3" borderId="1" xfId="0" applyNumberFormat="1" applyFont="1" applyFill="1" applyBorder="1" applyAlignment="1"/>
    <xf numFmtId="165" fontId="1" fillId="3" borderId="2" xfId="0" applyNumberFormat="1" applyFont="1" applyFill="1" applyBorder="1" applyAlignment="1"/>
    <xf numFmtId="0" fontId="4" fillId="2" borderId="3" xfId="0" applyFont="1" applyFill="1" applyBorder="1"/>
    <xf numFmtId="0" fontId="1" fillId="0" borderId="14" xfId="0" applyFont="1" applyBorder="1"/>
    <xf numFmtId="0" fontId="6" fillId="2" borderId="2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1" xfId="0" applyFont="1" applyBorder="1"/>
    <xf numFmtId="0" fontId="4" fillId="2" borderId="16" xfId="0" applyFont="1" applyFill="1" applyBorder="1"/>
    <xf numFmtId="0" fontId="4" fillId="6" borderId="1" xfId="0" applyFont="1" applyFill="1" applyBorder="1"/>
    <xf numFmtId="0" fontId="6" fillId="6" borderId="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1" fillId="5" borderId="0" xfId="0" applyFont="1" applyFill="1" applyBorder="1"/>
    <xf numFmtId="165" fontId="1" fillId="5" borderId="5" xfId="0" applyNumberFormat="1" applyFont="1" applyFill="1" applyBorder="1"/>
    <xf numFmtId="0" fontId="1" fillId="0" borderId="7" xfId="0" quotePrefix="1" applyFont="1" applyBorder="1"/>
    <xf numFmtId="0" fontId="1" fillId="5" borderId="12" xfId="0" applyFont="1" applyFill="1" applyBorder="1"/>
    <xf numFmtId="165" fontId="1" fillId="5" borderId="0" xfId="0" applyNumberFormat="1" applyFont="1" applyFill="1"/>
    <xf numFmtId="0" fontId="6" fillId="2" borderId="1" xfId="0" applyFont="1" applyFill="1" applyBorder="1" applyAlignment="1">
      <alignment horizontal="center"/>
    </xf>
    <xf numFmtId="0" fontId="1" fillId="5" borderId="8" xfId="0" applyFont="1" applyFill="1" applyBorder="1"/>
    <xf numFmtId="165" fontId="1" fillId="5" borderId="6" xfId="0" applyNumberFormat="1" applyFont="1" applyFill="1" applyBorder="1"/>
    <xf numFmtId="0" fontId="1" fillId="5" borderId="15" xfId="0" applyFont="1" applyFill="1" applyBorder="1"/>
    <xf numFmtId="165" fontId="1" fillId="0" borderId="5" xfId="0" applyNumberFormat="1" applyFont="1" applyBorder="1" applyAlignment="1">
      <alignment horizontal="center"/>
    </xf>
    <xf numFmtId="165" fontId="1" fillId="0" borderId="6" xfId="0" applyNumberFormat="1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165" fontId="1" fillId="5" borderId="1" xfId="0" applyNumberFormat="1" applyFont="1" applyFill="1" applyBorder="1"/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5" fontId="1" fillId="0" borderId="6" xfId="0" applyNumberFormat="1" applyFont="1" applyFill="1" applyBorder="1"/>
    <xf numFmtId="0" fontId="9" fillId="0" borderId="14" xfId="1" applyFont="1" applyBorder="1"/>
    <xf numFmtId="0" fontId="9" fillId="0" borderId="0" xfId="1" applyFont="1" applyBorder="1"/>
    <xf numFmtId="0" fontId="9" fillId="5" borderId="0" xfId="1" applyFont="1" applyFill="1" applyBorder="1"/>
    <xf numFmtId="0" fontId="9" fillId="0" borderId="8" xfId="1" applyFont="1" applyBorder="1"/>
    <xf numFmtId="0" fontId="9" fillId="0" borderId="16" xfId="1" applyFont="1" applyBorder="1"/>
    <xf numFmtId="0" fontId="9" fillId="0" borderId="5" xfId="1" applyFont="1" applyBorder="1"/>
    <xf numFmtId="0" fontId="9" fillId="5" borderId="5" xfId="1" applyFont="1" applyFill="1" applyBorder="1"/>
    <xf numFmtId="0" fontId="9" fillId="0" borderId="6" xfId="1" applyFont="1" applyFill="1" applyBorder="1"/>
    <xf numFmtId="0" fontId="9" fillId="5" borderId="8" xfId="1" applyFont="1" applyFill="1" applyBorder="1"/>
    <xf numFmtId="0" fontId="10" fillId="0" borderId="2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2" fillId="0" borderId="35" xfId="0" applyFont="1" applyFill="1" applyBorder="1" applyAlignment="1">
      <alignment horizontal="centerContinuous"/>
    </xf>
    <xf numFmtId="0" fontId="1" fillId="0" borderId="12" xfId="0" applyFont="1" applyFill="1" applyBorder="1" applyAlignment="1"/>
    <xf numFmtId="0" fontId="1" fillId="0" borderId="15" xfId="0" applyFont="1" applyFill="1" applyBorder="1" applyAlignment="1"/>
    <xf numFmtId="0" fontId="2" fillId="0" borderId="35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/>
    </xf>
    <xf numFmtId="0" fontId="1" fillId="0" borderId="7" xfId="0" applyFont="1" applyFill="1" applyBorder="1" applyAlignment="1"/>
    <xf numFmtId="0" fontId="1" fillId="0" borderId="9" xfId="0" applyFont="1" applyFill="1" applyBorder="1" applyAlignment="1"/>
    <xf numFmtId="0" fontId="1" fillId="0" borderId="16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167" fontId="1" fillId="0" borderId="16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1" fillId="3" borderId="4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1" fillId="3" borderId="8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right"/>
    </xf>
    <xf numFmtId="165" fontId="1" fillId="0" borderId="12" xfId="0" applyNumberFormat="1" applyFont="1" applyBorder="1" applyAlignment="1">
      <alignment horizontal="right"/>
    </xf>
    <xf numFmtId="165" fontId="1" fillId="0" borderId="5" xfId="0" applyNumberFormat="1" applyFont="1" applyBorder="1" applyAlignment="1">
      <alignment horizontal="right"/>
    </xf>
    <xf numFmtId="168" fontId="1" fillId="3" borderId="1" xfId="0" applyNumberFormat="1" applyFont="1" applyFill="1" applyBorder="1" applyAlignment="1">
      <alignment horizontal="right"/>
    </xf>
    <xf numFmtId="168" fontId="1" fillId="3" borderId="6" xfId="0" applyNumberFormat="1" applyFont="1" applyFill="1" applyBorder="1" applyAlignment="1">
      <alignment horizontal="right"/>
    </xf>
    <xf numFmtId="168" fontId="1" fillId="5" borderId="1" xfId="0" applyNumberFormat="1" applyFont="1" applyFill="1" applyBorder="1" applyAlignment="1">
      <alignment horizontal="right"/>
    </xf>
    <xf numFmtId="0" fontId="11" fillId="0" borderId="0" xfId="0" applyFont="1"/>
    <xf numFmtId="2" fontId="4" fillId="2" borderId="1" xfId="0" applyNumberFormat="1" applyFont="1" applyFill="1" applyBorder="1"/>
    <xf numFmtId="0" fontId="1" fillId="0" borderId="27" xfId="0" applyFont="1" applyBorder="1"/>
    <xf numFmtId="0" fontId="1" fillId="0" borderId="37" xfId="0" applyFont="1" applyBorder="1"/>
    <xf numFmtId="0" fontId="1" fillId="0" borderId="0" xfId="0" applyFont="1" applyFill="1" applyBorder="1" applyAlignment="1">
      <alignment horizontal="center"/>
    </xf>
    <xf numFmtId="165" fontId="1" fillId="0" borderId="0" xfId="0" applyNumberFormat="1" applyFont="1" applyFill="1" applyBorder="1" applyAlignment="1"/>
    <xf numFmtId="0" fontId="1" fillId="0" borderId="0" xfId="0" applyFont="1" applyFill="1"/>
    <xf numFmtId="165" fontId="1" fillId="5" borderId="12" xfId="0" applyNumberFormat="1" applyFont="1" applyFill="1" applyBorder="1"/>
    <xf numFmtId="165" fontId="1" fillId="5" borderId="7" xfId="0" applyNumberFormat="1" applyFont="1" applyFill="1" applyBorder="1"/>
    <xf numFmtId="44" fontId="1" fillId="0" borderId="0" xfId="0" applyNumberFormat="1" applyFont="1"/>
    <xf numFmtId="44" fontId="1" fillId="7" borderId="1" xfId="0" applyNumberFormat="1" applyFont="1" applyFill="1" applyBorder="1"/>
    <xf numFmtId="44" fontId="1" fillId="0" borderId="6" xfId="0" applyNumberFormat="1" applyFont="1" applyBorder="1"/>
    <xf numFmtId="44" fontId="1" fillId="0" borderId="9" xfId="3" applyFont="1" applyBorder="1"/>
    <xf numFmtId="44" fontId="1" fillId="5" borderId="6" xfId="3" applyFont="1" applyFill="1" applyBorder="1"/>
    <xf numFmtId="44" fontId="1" fillId="0" borderId="5" xfId="0" applyNumberFormat="1" applyFont="1" applyBorder="1"/>
    <xf numFmtId="44" fontId="1" fillId="5" borderId="7" xfId="3" applyFont="1" applyFill="1" applyBorder="1"/>
    <xf numFmtId="44" fontId="1" fillId="0" borderId="5" xfId="3" applyFont="1" applyBorder="1"/>
    <xf numFmtId="44" fontId="1" fillId="0" borderId="16" xfId="0" applyNumberFormat="1" applyFont="1" applyBorder="1"/>
    <xf numFmtId="44" fontId="1" fillId="0" borderId="7" xfId="3" applyFont="1" applyBorder="1"/>
    <xf numFmtId="44" fontId="1" fillId="5" borderId="5" xfId="3" applyFont="1" applyFill="1" applyBorder="1"/>
    <xf numFmtId="0" fontId="4" fillId="2" borderId="11" xfId="0" applyFont="1" applyFill="1" applyBorder="1"/>
    <xf numFmtId="0" fontId="4" fillId="2" borderId="10" xfId="0" applyFont="1" applyFill="1" applyBorder="1"/>
    <xf numFmtId="44" fontId="13" fillId="3" borderId="1" xfId="3" applyFont="1" applyFill="1" applyBorder="1"/>
    <xf numFmtId="2" fontId="1" fillId="0" borderId="6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  <xf numFmtId="1" fontId="1" fillId="0" borderId="0" xfId="0" applyNumberFormat="1" applyFont="1" applyBorder="1"/>
    <xf numFmtId="2" fontId="1" fillId="0" borderId="0" xfId="0" applyNumberFormat="1" applyFont="1" applyBorder="1"/>
    <xf numFmtId="1" fontId="1" fillId="0" borderId="0" xfId="0" applyNumberFormat="1" applyFont="1"/>
    <xf numFmtId="2" fontId="1" fillId="0" borderId="16" xfId="0" applyNumberFormat="1" applyFont="1" applyBorder="1"/>
    <xf numFmtId="1" fontId="1" fillId="0" borderId="14" xfId="0" applyNumberFormat="1" applyFont="1" applyBorder="1"/>
    <xf numFmtId="0" fontId="13" fillId="0" borderId="4" xfId="0" applyFont="1" applyBorder="1" applyAlignment="1"/>
    <xf numFmtId="0" fontId="13" fillId="0" borderId="3" xfId="0" applyFont="1" applyBorder="1" applyAlignment="1"/>
    <xf numFmtId="0" fontId="13" fillId="0" borderId="2" xfId="0" applyFont="1" applyBorder="1" applyAlignment="1"/>
    <xf numFmtId="1" fontId="1" fillId="0" borderId="12" xfId="0" applyNumberFormat="1" applyFont="1" applyBorder="1"/>
    <xf numFmtId="1" fontId="1" fillId="0" borderId="5" xfId="0" applyNumberFormat="1" applyFont="1" applyBorder="1"/>
    <xf numFmtId="1" fontId="1" fillId="0" borderId="7" xfId="0" applyNumberFormat="1" applyFont="1" applyBorder="1"/>
    <xf numFmtId="0" fontId="13" fillId="0" borderId="3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/>
    <xf numFmtId="0" fontId="0" fillId="0" borderId="0" xfId="0" applyBorder="1"/>
    <xf numFmtId="1" fontId="1" fillId="0" borderId="9" xfId="0" applyNumberFormat="1" applyFont="1" applyBorder="1"/>
    <xf numFmtId="1" fontId="1" fillId="0" borderId="8" xfId="0" applyNumberFormat="1" applyFont="1" applyBorder="1"/>
    <xf numFmtId="1" fontId="15" fillId="0" borderId="9" xfId="0" applyNumberFormat="1" applyFont="1" applyFill="1" applyBorder="1"/>
    <xf numFmtId="1" fontId="15" fillId="0" borderId="8" xfId="0" applyNumberFormat="1" applyFont="1" applyFill="1" applyBorder="1"/>
    <xf numFmtId="0" fontId="15" fillId="0" borderId="7" xfId="0" applyFont="1" applyBorder="1"/>
    <xf numFmtId="0" fontId="15" fillId="0" borderId="0" xfId="0" applyFont="1" applyBorder="1"/>
    <xf numFmtId="1" fontId="15" fillId="0" borderId="0" xfId="0" applyNumberFormat="1" applyFont="1" applyBorder="1"/>
    <xf numFmtId="1" fontId="15" fillId="0" borderId="7" xfId="0" applyNumberFormat="1" applyFont="1" applyBorder="1"/>
    <xf numFmtId="0" fontId="1" fillId="0" borderId="1" xfId="0" applyFont="1" applyBorder="1" applyAlignment="1">
      <alignment horizontal="right"/>
    </xf>
    <xf numFmtId="0" fontId="4" fillId="10" borderId="4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1" fontId="1" fillId="0" borderId="9" xfId="0" applyNumberFormat="1" applyFont="1" applyFill="1" applyBorder="1"/>
    <xf numFmtId="1" fontId="1" fillId="0" borderId="8" xfId="0" applyNumberFormat="1" applyFont="1" applyFill="1" applyBorder="1"/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4" fillId="10" borderId="30" xfId="0" applyFont="1" applyFill="1" applyBorder="1" applyAlignment="1">
      <alignment horizontal="center"/>
    </xf>
    <xf numFmtId="0" fontId="4" fillId="10" borderId="28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1" fontId="1" fillId="0" borderId="9" xfId="0" applyNumberFormat="1" applyFont="1" applyFill="1" applyBorder="1" applyAlignment="1">
      <alignment horizontal="right"/>
    </xf>
    <xf numFmtId="0" fontId="1" fillId="11" borderId="6" xfId="0" applyFont="1" applyFill="1" applyBorder="1"/>
    <xf numFmtId="2" fontId="1" fillId="11" borderId="8" xfId="0" applyNumberFormat="1" applyFont="1" applyFill="1" applyBorder="1"/>
    <xf numFmtId="0" fontId="1" fillId="11" borderId="8" xfId="0" applyFont="1" applyFill="1" applyBorder="1"/>
    <xf numFmtId="0" fontId="1" fillId="11" borderId="15" xfId="0" applyFont="1" applyFill="1" applyBorder="1"/>
    <xf numFmtId="2" fontId="1" fillId="12" borderId="0" xfId="0" applyNumberFormat="1" applyFont="1" applyFill="1" applyBorder="1"/>
    <xf numFmtId="0" fontId="1" fillId="12" borderId="0" xfId="0" applyFont="1" applyFill="1" applyBorder="1"/>
    <xf numFmtId="0" fontId="1" fillId="12" borderId="12" xfId="0" applyFont="1" applyFill="1" applyBorder="1"/>
    <xf numFmtId="0" fontId="4" fillId="11" borderId="1" xfId="0" applyFont="1" applyFill="1" applyBorder="1" applyAlignment="1">
      <alignment horizontal="center"/>
    </xf>
    <xf numFmtId="0" fontId="4" fillId="11" borderId="3" xfId="0" applyFont="1" applyFill="1" applyBorder="1" applyAlignment="1">
      <alignment horizontal="center" wrapText="1"/>
    </xf>
    <xf numFmtId="0" fontId="4" fillId="11" borderId="3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0" fontId="1" fillId="11" borderId="9" xfId="0" applyFont="1" applyFill="1" applyBorder="1"/>
    <xf numFmtId="165" fontId="1" fillId="12" borderId="7" xfId="0" applyNumberFormat="1" applyFont="1" applyFill="1" applyBorder="1"/>
    <xf numFmtId="165" fontId="1" fillId="12" borderId="0" xfId="0" applyNumberFormat="1" applyFont="1" applyFill="1" applyBorder="1"/>
    <xf numFmtId="165" fontId="1" fillId="12" borderId="12" xfId="0" applyNumberFormat="1" applyFont="1" applyFill="1" applyBorder="1"/>
    <xf numFmtId="0" fontId="4" fillId="11" borderId="4" xfId="0" applyFont="1" applyFill="1" applyBorder="1"/>
    <xf numFmtId="0" fontId="4" fillId="11" borderId="3" xfId="0" applyFont="1" applyFill="1" applyBorder="1"/>
    <xf numFmtId="0" fontId="4" fillId="11" borderId="2" xfId="0" applyFont="1" applyFill="1" applyBorder="1"/>
    <xf numFmtId="0" fontId="4" fillId="11" borderId="4" xfId="0" applyFont="1" applyFill="1" applyBorder="1" applyAlignment="1">
      <alignment horizontal="center" wrapText="1"/>
    </xf>
    <xf numFmtId="2" fontId="1" fillId="11" borderId="9" xfId="0" applyNumberFormat="1" applyFont="1" applyFill="1" applyBorder="1"/>
    <xf numFmtId="2" fontId="1" fillId="12" borderId="7" xfId="0" applyNumberFormat="1" applyFont="1" applyFill="1" applyBorder="1"/>
    <xf numFmtId="165" fontId="1" fillId="11" borderId="8" xfId="0" applyNumberFormat="1" applyFont="1" applyFill="1" applyBorder="1"/>
    <xf numFmtId="0" fontId="1" fillId="14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/>
    </xf>
    <xf numFmtId="1" fontId="1" fillId="0" borderId="6" xfId="0" applyNumberFormat="1" applyFont="1" applyBorder="1"/>
    <xf numFmtId="1" fontId="1" fillId="0" borderId="15" xfId="0" applyNumberFormat="1" applyFont="1" applyBorder="1"/>
    <xf numFmtId="164" fontId="1" fillId="0" borderId="9" xfId="0" applyNumberFormat="1" applyFont="1" applyBorder="1"/>
    <xf numFmtId="0" fontId="4" fillId="10" borderId="1" xfId="0" applyFont="1" applyFill="1" applyBorder="1" applyAlignment="1">
      <alignment vertical="center" wrapText="1"/>
    </xf>
    <xf numFmtId="0" fontId="4" fillId="10" borderId="3" xfId="0" applyFont="1" applyFill="1" applyBorder="1"/>
    <xf numFmtId="0" fontId="4" fillId="10" borderId="2" xfId="0" applyFont="1" applyFill="1" applyBorder="1"/>
    <xf numFmtId="0" fontId="4" fillId="10" borderId="4" xfId="0" applyFont="1" applyFill="1" applyBorder="1" applyAlignment="1"/>
    <xf numFmtId="0" fontId="4" fillId="10" borderId="3" xfId="0" applyFont="1" applyFill="1" applyBorder="1" applyAlignment="1"/>
    <xf numFmtId="0" fontId="4" fillId="10" borderId="1" xfId="0" applyFont="1" applyFill="1" applyBorder="1" applyAlignment="1"/>
    <xf numFmtId="43" fontId="1" fillId="0" borderId="1" xfId="2" applyFont="1" applyBorder="1"/>
    <xf numFmtId="43" fontId="1" fillId="0" borderId="2" xfId="2" applyFont="1" applyBorder="1"/>
    <xf numFmtId="0" fontId="1" fillId="14" borderId="2" xfId="0" applyFont="1" applyFill="1" applyBorder="1" applyAlignment="1">
      <alignment horizontal="center" vertical="center" wrapText="1"/>
    </xf>
    <xf numFmtId="0" fontId="1" fillId="5" borderId="1" xfId="0" applyFont="1" applyFill="1" applyBorder="1"/>
    <xf numFmtId="0" fontId="1" fillId="0" borderId="0" xfId="4" applyFont="1"/>
    <xf numFmtId="0" fontId="1" fillId="0" borderId="0" xfId="4" applyFont="1" applyAlignment="1">
      <alignment horizontal="center"/>
    </xf>
    <xf numFmtId="0" fontId="1" fillId="0" borderId="38" xfId="4" applyFont="1" applyBorder="1"/>
    <xf numFmtId="0" fontId="1" fillId="0" borderId="38" xfId="4" applyFont="1" applyBorder="1" applyAlignment="1">
      <alignment horizontal="center"/>
    </xf>
    <xf numFmtId="0" fontId="4" fillId="6" borderId="0" xfId="4" applyFont="1" applyFill="1"/>
    <xf numFmtId="0" fontId="4" fillId="6" borderId="0" xfId="4" applyFont="1" applyFill="1" applyAlignment="1">
      <alignment horizontal="center"/>
    </xf>
    <xf numFmtId="0" fontId="4" fillId="10" borderId="2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0" borderId="4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/>
    </xf>
    <xf numFmtId="0" fontId="4" fillId="13" borderId="3" xfId="0" applyFont="1" applyFill="1" applyBorder="1" applyAlignment="1">
      <alignment horizontal="center"/>
    </xf>
    <xf numFmtId="0" fontId="4" fillId="13" borderId="4" xfId="0" applyFont="1" applyFill="1" applyBorder="1" applyAlignment="1">
      <alignment horizontal="center"/>
    </xf>
    <xf numFmtId="0" fontId="1" fillId="12" borderId="16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/>
    </xf>
    <xf numFmtId="0" fontId="4" fillId="8" borderId="14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10" borderId="10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4" fillId="10" borderId="1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/>
    </xf>
    <xf numFmtId="0" fontId="14" fillId="9" borderId="2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4" fillId="8" borderId="2" xfId="0" applyFont="1" applyFill="1" applyBorder="1" applyAlignment="1">
      <alignment horizontal="center"/>
    </xf>
    <xf numFmtId="0" fontId="14" fillId="8" borderId="3" xfId="0" applyFont="1" applyFill="1" applyBorder="1" applyAlignment="1">
      <alignment horizontal="center"/>
    </xf>
    <xf numFmtId="0" fontId="14" fillId="8" borderId="4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5" fontId="1" fillId="3" borderId="2" xfId="0" applyNumberFormat="1" applyFont="1" applyFill="1" applyBorder="1" applyAlignment="1">
      <alignment horizontal="center"/>
    </xf>
    <xf numFmtId="165" fontId="1" fillId="3" borderId="4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165" fontId="1" fillId="5" borderId="2" xfId="0" applyNumberFormat="1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165" fontId="1" fillId="4" borderId="2" xfId="0" applyNumberFormat="1" applyFont="1" applyFill="1" applyBorder="1" applyAlignment="1">
      <alignment horizontal="center"/>
    </xf>
    <xf numFmtId="165" fontId="1" fillId="4" borderId="4" xfId="0" applyNumberFormat="1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5" fontId="5" fillId="5" borderId="2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4" borderId="2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4" fillId="10" borderId="10" xfId="0" applyFont="1" applyFill="1" applyBorder="1" applyAlignment="1">
      <alignment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4" xfId="0" applyFont="1" applyFill="1" applyBorder="1"/>
  </cellXfs>
  <cellStyles count="5">
    <cellStyle name="Comma" xfId="2" builtinId="3"/>
    <cellStyle name="Currency" xfId="3" builtinId="4"/>
    <cellStyle name="Hyperlink" xfId="1" builtinId="8"/>
    <cellStyle name="Normal" xfId="0" builtinId="0"/>
    <cellStyle name="Normal 2" xfId="4" xr:uid="{9FDDC3E1-90BF-4398-A081-17429837266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P1'!$B$1</c:f>
              <c:strCache>
                <c:ptCount val="1"/>
                <c:pt idx="0">
                  <c:v>Product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'Forecast P1'!$A$2:$A$21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P1'!$B$2:$B$21</c:f>
              <c:numCache>
                <c:formatCode>General</c:formatCode>
                <c:ptCount val="20"/>
                <c:pt idx="0">
                  <c:v>140</c:v>
                </c:pt>
                <c:pt idx="1">
                  <c:v>155</c:v>
                </c:pt>
                <c:pt idx="2">
                  <c:v>145</c:v>
                </c:pt>
                <c:pt idx="3">
                  <c:v>152</c:v>
                </c:pt>
                <c:pt idx="4">
                  <c:v>155</c:v>
                </c:pt>
                <c:pt idx="5">
                  <c:v>145</c:v>
                </c:pt>
                <c:pt idx="6">
                  <c:v>147</c:v>
                </c:pt>
                <c:pt idx="7">
                  <c:v>135</c:v>
                </c:pt>
                <c:pt idx="8">
                  <c:v>137</c:v>
                </c:pt>
                <c:pt idx="9">
                  <c:v>140</c:v>
                </c:pt>
                <c:pt idx="10">
                  <c:v>120</c:v>
                </c:pt>
                <c:pt idx="11">
                  <c:v>150</c:v>
                </c:pt>
                <c:pt idx="12">
                  <c:v>161</c:v>
                </c:pt>
                <c:pt idx="13">
                  <c:v>143</c:v>
                </c:pt>
                <c:pt idx="14">
                  <c:v>149</c:v>
                </c:pt>
                <c:pt idx="15">
                  <c:v>140</c:v>
                </c:pt>
                <c:pt idx="16">
                  <c:v>142</c:v>
                </c:pt>
                <c:pt idx="17">
                  <c:v>157</c:v>
                </c:pt>
                <c:pt idx="18">
                  <c:v>148</c:v>
                </c:pt>
                <c:pt idx="19">
                  <c:v>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2-4F40-AF4C-6D699D5FC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  <a:r>
                  <a:rPr lang="en-US" baseline="0"/>
                  <a:t> Demand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1</a:t>
            </a:r>
          </a:p>
        </c:rich>
      </c:tx>
      <c:layout>
        <c:manualLayout>
          <c:xMode val="edge"/>
          <c:yMode val="edge"/>
          <c:x val="0.4188123359580052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P1'!$B$23:$B$43</c:f>
              <c:numCache>
                <c:formatCode>General</c:formatCode>
                <c:ptCount val="21"/>
                <c:pt idx="0">
                  <c:v>0</c:v>
                </c:pt>
                <c:pt idx="1">
                  <c:v>140</c:v>
                </c:pt>
                <c:pt idx="2">
                  <c:v>155</c:v>
                </c:pt>
                <c:pt idx="3">
                  <c:v>145</c:v>
                </c:pt>
                <c:pt idx="4">
                  <c:v>152</c:v>
                </c:pt>
                <c:pt idx="5">
                  <c:v>155</c:v>
                </c:pt>
                <c:pt idx="6">
                  <c:v>145</c:v>
                </c:pt>
                <c:pt idx="7">
                  <c:v>147</c:v>
                </c:pt>
                <c:pt idx="8">
                  <c:v>135</c:v>
                </c:pt>
                <c:pt idx="9">
                  <c:v>137</c:v>
                </c:pt>
                <c:pt idx="10">
                  <c:v>140</c:v>
                </c:pt>
                <c:pt idx="11">
                  <c:v>120</c:v>
                </c:pt>
                <c:pt idx="12">
                  <c:v>150</c:v>
                </c:pt>
                <c:pt idx="13">
                  <c:v>161</c:v>
                </c:pt>
                <c:pt idx="14">
                  <c:v>143</c:v>
                </c:pt>
                <c:pt idx="15">
                  <c:v>149</c:v>
                </c:pt>
                <c:pt idx="16">
                  <c:v>140</c:v>
                </c:pt>
                <c:pt idx="17">
                  <c:v>142</c:v>
                </c:pt>
                <c:pt idx="18">
                  <c:v>157</c:v>
                </c:pt>
                <c:pt idx="19">
                  <c:v>148</c:v>
                </c:pt>
                <c:pt idx="20">
                  <c:v>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F63-4605-9816-B3C68D591A01}"/>
            </c:ext>
          </c:extLst>
        </c:ser>
        <c:ser>
          <c:idx val="2"/>
          <c:order val="1"/>
          <c:tx>
            <c:v>Moving Avg (2 weeks)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P1'!$C$23:$C$43</c:f>
              <c:numCache>
                <c:formatCode>General</c:formatCode>
                <c:ptCount val="21"/>
                <c:pt idx="0">
                  <c:v>2</c:v>
                </c:pt>
                <c:pt idx="1">
                  <c:v>0</c:v>
                </c:pt>
                <c:pt idx="2" formatCode="0.0">
                  <c:v>0</c:v>
                </c:pt>
                <c:pt idx="3" formatCode="0.0">
                  <c:v>147.5</c:v>
                </c:pt>
                <c:pt idx="4" formatCode="0.0">
                  <c:v>150</c:v>
                </c:pt>
                <c:pt idx="5" formatCode="0.0">
                  <c:v>148.5</c:v>
                </c:pt>
                <c:pt idx="6" formatCode="0.0">
                  <c:v>153.5</c:v>
                </c:pt>
                <c:pt idx="7" formatCode="0.0">
                  <c:v>150</c:v>
                </c:pt>
                <c:pt idx="8" formatCode="0.0">
                  <c:v>146</c:v>
                </c:pt>
                <c:pt idx="9" formatCode="0.0">
                  <c:v>141</c:v>
                </c:pt>
                <c:pt idx="10" formatCode="0.0">
                  <c:v>136</c:v>
                </c:pt>
                <c:pt idx="11" formatCode="0.0">
                  <c:v>138.5</c:v>
                </c:pt>
                <c:pt idx="12" formatCode="0.0">
                  <c:v>130</c:v>
                </c:pt>
                <c:pt idx="13" formatCode="0.0">
                  <c:v>135</c:v>
                </c:pt>
                <c:pt idx="14" formatCode="0.0">
                  <c:v>155.5</c:v>
                </c:pt>
                <c:pt idx="15" formatCode="0.0">
                  <c:v>152</c:v>
                </c:pt>
                <c:pt idx="16" formatCode="0.0">
                  <c:v>146</c:v>
                </c:pt>
                <c:pt idx="17" formatCode="0.0">
                  <c:v>144.5</c:v>
                </c:pt>
                <c:pt idx="18" formatCode="0.0">
                  <c:v>141</c:v>
                </c:pt>
                <c:pt idx="19" formatCode="0.0">
                  <c:v>149.5</c:v>
                </c:pt>
                <c:pt idx="20" formatCode="0.0">
                  <c:v>152.5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63-4605-9816-B3C68D591A01}"/>
            </c:ext>
          </c:extLst>
        </c:ser>
        <c:ser>
          <c:idx val="3"/>
          <c:order val="2"/>
          <c:tx>
            <c:v>Moving avg (4 weeks)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P1'!$E$23:$E$43</c:f>
              <c:numCache>
                <c:formatCode>General</c:formatCode>
                <c:ptCount val="2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">
                  <c:v>0</c:v>
                </c:pt>
                <c:pt idx="5" formatCode="0.0">
                  <c:v>148</c:v>
                </c:pt>
                <c:pt idx="6" formatCode="0.0">
                  <c:v>151.75</c:v>
                </c:pt>
                <c:pt idx="7" formatCode="0.0">
                  <c:v>149.25</c:v>
                </c:pt>
                <c:pt idx="8" formatCode="0.0">
                  <c:v>149.75</c:v>
                </c:pt>
                <c:pt idx="9" formatCode="0.0">
                  <c:v>145.5</c:v>
                </c:pt>
                <c:pt idx="10" formatCode="0.0">
                  <c:v>141</c:v>
                </c:pt>
                <c:pt idx="11" formatCode="0.0">
                  <c:v>139.75</c:v>
                </c:pt>
                <c:pt idx="12" formatCode="0.0">
                  <c:v>133</c:v>
                </c:pt>
                <c:pt idx="13" formatCode="0.0">
                  <c:v>136.75</c:v>
                </c:pt>
                <c:pt idx="14" formatCode="0.0">
                  <c:v>142.75</c:v>
                </c:pt>
                <c:pt idx="15" formatCode="0.0">
                  <c:v>143.5</c:v>
                </c:pt>
                <c:pt idx="16" formatCode="0.0">
                  <c:v>150.75</c:v>
                </c:pt>
                <c:pt idx="17" formatCode="0.0">
                  <c:v>148.25</c:v>
                </c:pt>
                <c:pt idx="18" formatCode="0.0">
                  <c:v>143.5</c:v>
                </c:pt>
                <c:pt idx="19" formatCode="0.0">
                  <c:v>147</c:v>
                </c:pt>
                <c:pt idx="20" formatCode="0.0">
                  <c:v>146.75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63-4605-9816-B3C68D591A01}"/>
            </c:ext>
          </c:extLst>
        </c:ser>
        <c:ser>
          <c:idx val="4"/>
          <c:order val="3"/>
          <c:tx>
            <c:v>Moving avg (5 weeks)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P1'!$G$23:$G$43</c:f>
              <c:numCache>
                <c:formatCode>General</c:formatCode>
                <c:ptCount val="21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">
                  <c:v>0</c:v>
                </c:pt>
                <c:pt idx="6" formatCode="0.0">
                  <c:v>150.4</c:v>
                </c:pt>
                <c:pt idx="7" formatCode="0.0">
                  <c:v>148.80000000000001</c:v>
                </c:pt>
                <c:pt idx="8" formatCode="0.0">
                  <c:v>146.80000000000001</c:v>
                </c:pt>
                <c:pt idx="9" formatCode="0.0">
                  <c:v>143.80000000000001</c:v>
                </c:pt>
                <c:pt idx="10" formatCode="0.0">
                  <c:v>140.80000000000001</c:v>
                </c:pt>
                <c:pt idx="11" formatCode="0.0">
                  <c:v>140.80000000000001</c:v>
                </c:pt>
                <c:pt idx="12" formatCode="0.0">
                  <c:v>135.80000000000001</c:v>
                </c:pt>
                <c:pt idx="13" formatCode="0.0">
                  <c:v>136.4</c:v>
                </c:pt>
                <c:pt idx="14" formatCode="0.0">
                  <c:v>141.6</c:v>
                </c:pt>
                <c:pt idx="15" formatCode="0.0">
                  <c:v>142.80000000000001</c:v>
                </c:pt>
                <c:pt idx="16" formatCode="0.0">
                  <c:v>144.6</c:v>
                </c:pt>
                <c:pt idx="17" formatCode="0.0">
                  <c:v>148.6</c:v>
                </c:pt>
                <c:pt idx="18" formatCode="0.0">
                  <c:v>147</c:v>
                </c:pt>
                <c:pt idx="19" formatCode="0.0">
                  <c:v>146.19999999999999</c:v>
                </c:pt>
                <c:pt idx="20" formatCode="0.0">
                  <c:v>147.19999999999999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F63-4605-9816-B3C68D591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  <a:r>
                  <a:rPr lang="en-US" baseline="0"/>
                  <a:t> Demand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P1'!$S$48:$S$67</c:f>
              <c:numCache>
                <c:formatCode>General</c:formatCode>
                <c:ptCount val="20"/>
                <c:pt idx="0">
                  <c:v>140</c:v>
                </c:pt>
                <c:pt idx="1">
                  <c:v>155</c:v>
                </c:pt>
                <c:pt idx="2">
                  <c:v>145</c:v>
                </c:pt>
                <c:pt idx="3">
                  <c:v>152</c:v>
                </c:pt>
                <c:pt idx="4">
                  <c:v>155</c:v>
                </c:pt>
                <c:pt idx="5">
                  <c:v>145</c:v>
                </c:pt>
                <c:pt idx="6">
                  <c:v>147</c:v>
                </c:pt>
                <c:pt idx="7">
                  <c:v>135</c:v>
                </c:pt>
                <c:pt idx="8">
                  <c:v>137</c:v>
                </c:pt>
                <c:pt idx="9">
                  <c:v>140</c:v>
                </c:pt>
                <c:pt idx="10">
                  <c:v>120</c:v>
                </c:pt>
                <c:pt idx="11">
                  <c:v>150</c:v>
                </c:pt>
                <c:pt idx="12">
                  <c:v>161</c:v>
                </c:pt>
                <c:pt idx="13">
                  <c:v>143</c:v>
                </c:pt>
                <c:pt idx="14">
                  <c:v>149</c:v>
                </c:pt>
                <c:pt idx="15">
                  <c:v>140</c:v>
                </c:pt>
                <c:pt idx="16">
                  <c:v>142</c:v>
                </c:pt>
                <c:pt idx="17">
                  <c:v>157</c:v>
                </c:pt>
                <c:pt idx="18">
                  <c:v>148</c:v>
                </c:pt>
                <c:pt idx="19">
                  <c:v>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20-4EBA-9936-8052B10FEEB7}"/>
            </c:ext>
          </c:extLst>
        </c:ser>
        <c:ser>
          <c:idx val="2"/>
          <c:order val="1"/>
          <c:tx>
            <c:v>Exp Smoothing (0.2)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P1'!$T$48:$T$72</c:f>
              <c:numCache>
                <c:formatCode>0.0</c:formatCode>
                <c:ptCount val="25"/>
                <c:pt idx="0" formatCode="General">
                  <c:v>140</c:v>
                </c:pt>
                <c:pt idx="1">
                  <c:v>140</c:v>
                </c:pt>
                <c:pt idx="2">
                  <c:v>143</c:v>
                </c:pt>
                <c:pt idx="3">
                  <c:v>143.4</c:v>
                </c:pt>
                <c:pt idx="4">
                  <c:v>145.12</c:v>
                </c:pt>
                <c:pt idx="5">
                  <c:v>147.096</c:v>
                </c:pt>
                <c:pt idx="6">
                  <c:v>146.67680000000001</c:v>
                </c:pt>
                <c:pt idx="7">
                  <c:v>146.74144000000001</c:v>
                </c:pt>
                <c:pt idx="8">
                  <c:v>144.39315200000001</c:v>
                </c:pt>
                <c:pt idx="9">
                  <c:v>142.9145216</c:v>
                </c:pt>
                <c:pt idx="10">
                  <c:v>142.33161727999999</c:v>
                </c:pt>
                <c:pt idx="11">
                  <c:v>137.86529382399999</c:v>
                </c:pt>
                <c:pt idx="12">
                  <c:v>140.29223505919998</c:v>
                </c:pt>
                <c:pt idx="13">
                  <c:v>144.43378804736</c:v>
                </c:pt>
                <c:pt idx="14">
                  <c:v>144.14703043788799</c:v>
                </c:pt>
                <c:pt idx="15">
                  <c:v>145.11762435031039</c:v>
                </c:pt>
                <c:pt idx="16">
                  <c:v>144.0940994802483</c:v>
                </c:pt>
                <c:pt idx="17">
                  <c:v>143.67527958419865</c:v>
                </c:pt>
                <c:pt idx="18">
                  <c:v>146.34022366735891</c:v>
                </c:pt>
                <c:pt idx="19">
                  <c:v>146.67217893388712</c:v>
                </c:pt>
                <c:pt idx="20" formatCode="General">
                  <c:v>146.13774314710969</c:v>
                </c:pt>
                <c:pt idx="21" formatCode="General">
                  <c:v>145.71019451768774</c:v>
                </c:pt>
                <c:pt idx="22" formatCode="General">
                  <c:v>145.3681556141502</c:v>
                </c:pt>
                <c:pt idx="23" formatCode="General">
                  <c:v>145.09452449132016</c:v>
                </c:pt>
                <c:pt idx="24" formatCode="General">
                  <c:v>144.87561959305611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20-4EBA-9936-8052B10FE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  <a:r>
                  <a:rPr lang="en-US" baseline="0"/>
                  <a:t> Demand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1</a:t>
            </a:r>
            <a:endParaRPr lang="en-US" baseline="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'Forecast P1 - Trend'!$B$2:$B$21</c:f>
              <c:numCache>
                <c:formatCode>General</c:formatCode>
                <c:ptCount val="20"/>
                <c:pt idx="0">
                  <c:v>140</c:v>
                </c:pt>
                <c:pt idx="1">
                  <c:v>155</c:v>
                </c:pt>
                <c:pt idx="2">
                  <c:v>145</c:v>
                </c:pt>
                <c:pt idx="3">
                  <c:v>152</c:v>
                </c:pt>
                <c:pt idx="4">
                  <c:v>155</c:v>
                </c:pt>
                <c:pt idx="5">
                  <c:v>145</c:v>
                </c:pt>
                <c:pt idx="6">
                  <c:v>147</c:v>
                </c:pt>
                <c:pt idx="7">
                  <c:v>135</c:v>
                </c:pt>
                <c:pt idx="8">
                  <c:v>137</c:v>
                </c:pt>
                <c:pt idx="9">
                  <c:v>140</c:v>
                </c:pt>
                <c:pt idx="10">
                  <c:v>120</c:v>
                </c:pt>
                <c:pt idx="11">
                  <c:v>150</c:v>
                </c:pt>
                <c:pt idx="12">
                  <c:v>161</c:v>
                </c:pt>
                <c:pt idx="13">
                  <c:v>143</c:v>
                </c:pt>
                <c:pt idx="14">
                  <c:v>149</c:v>
                </c:pt>
                <c:pt idx="15">
                  <c:v>140</c:v>
                </c:pt>
                <c:pt idx="16">
                  <c:v>142</c:v>
                </c:pt>
                <c:pt idx="17">
                  <c:v>157</c:v>
                </c:pt>
                <c:pt idx="18">
                  <c:v>148</c:v>
                </c:pt>
                <c:pt idx="19">
                  <c:v>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65-43F5-A7EB-F4D9D0E3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8735"/>
        <c:axId val="461392671"/>
      </c:scatterChart>
      <c:valAx>
        <c:axId val="1906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92671"/>
        <c:crosses val="autoZero"/>
        <c:crossBetween val="midCat"/>
      </c:valAx>
      <c:valAx>
        <c:axId val="46139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P1 - Trend'!$B$2:$B$21</c:f>
              <c:numCache>
                <c:formatCode>General</c:formatCode>
                <c:ptCount val="20"/>
                <c:pt idx="0">
                  <c:v>140</c:v>
                </c:pt>
                <c:pt idx="1">
                  <c:v>155</c:v>
                </c:pt>
                <c:pt idx="2">
                  <c:v>145</c:v>
                </c:pt>
                <c:pt idx="3">
                  <c:v>152</c:v>
                </c:pt>
                <c:pt idx="4">
                  <c:v>155</c:v>
                </c:pt>
                <c:pt idx="5">
                  <c:v>145</c:v>
                </c:pt>
                <c:pt idx="6">
                  <c:v>147</c:v>
                </c:pt>
                <c:pt idx="7">
                  <c:v>135</c:v>
                </c:pt>
                <c:pt idx="8">
                  <c:v>137</c:v>
                </c:pt>
                <c:pt idx="9">
                  <c:v>140</c:v>
                </c:pt>
                <c:pt idx="10">
                  <c:v>120</c:v>
                </c:pt>
                <c:pt idx="11">
                  <c:v>150</c:v>
                </c:pt>
                <c:pt idx="12">
                  <c:v>161</c:v>
                </c:pt>
                <c:pt idx="13">
                  <c:v>143</c:v>
                </c:pt>
                <c:pt idx="14">
                  <c:v>149</c:v>
                </c:pt>
                <c:pt idx="15">
                  <c:v>140</c:v>
                </c:pt>
                <c:pt idx="16">
                  <c:v>142</c:v>
                </c:pt>
                <c:pt idx="17">
                  <c:v>157</c:v>
                </c:pt>
                <c:pt idx="18">
                  <c:v>148</c:v>
                </c:pt>
                <c:pt idx="19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F-45B9-94E0-82EAC3A8D71C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P1 - Trend'!$G$24:$G$42</c:f>
              <c:numCache>
                <c:formatCode>0.000</c:formatCode>
                <c:ptCount val="19"/>
                <c:pt idx="0">
                  <c:v>140</c:v>
                </c:pt>
                <c:pt idx="1">
                  <c:v>155</c:v>
                </c:pt>
                <c:pt idx="2">
                  <c:v>170</c:v>
                </c:pt>
                <c:pt idx="3">
                  <c:v>142.25</c:v>
                </c:pt>
                <c:pt idx="4">
                  <c:v>153.67250000000001</c:v>
                </c:pt>
                <c:pt idx="5">
                  <c:v>158.59002500000003</c:v>
                </c:pt>
                <c:pt idx="6">
                  <c:v>139.07385725</c:v>
                </c:pt>
                <c:pt idx="7">
                  <c:v>145.34241610249998</c:v>
                </c:pt>
                <c:pt idx="8">
                  <c:v>126.79191494472502</c:v>
                </c:pt>
                <c:pt idx="9">
                  <c:v>135.00541372372024</c:v>
                </c:pt>
                <c:pt idx="10">
                  <c:v>251.8603</c:v>
                </c:pt>
                <c:pt idx="11">
                  <c:v>20.809486999999962</c:v>
                </c:pt>
                <c:pt idx="12">
                  <c:v>129.34872123</c:v>
                </c:pt>
                <c:pt idx="13">
                  <c:v>175.74018045669999</c:v>
                </c:pt>
                <c:pt idx="14">
                  <c:v>137.659780209443</c:v>
                </c:pt>
                <c:pt idx="15">
                  <c:v>148.43731821506844</c:v>
                </c:pt>
                <c:pt idx="16">
                  <c:v>134.58084426142557</c:v>
                </c:pt>
                <c:pt idx="17">
                  <c:v>141.00471301430653</c:v>
                </c:pt>
                <c:pt idx="18">
                  <c:v>168.10328234800636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F-45B9-94E0-82EAC3A8D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670975"/>
        <c:axId val="434225119"/>
      </c:lineChart>
      <c:catAx>
        <c:axId val="3486709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25119"/>
        <c:crosses val="autoZero"/>
        <c:auto val="1"/>
        <c:lblAlgn val="ctr"/>
        <c:lblOffset val="100"/>
        <c:noMultiLvlLbl val="0"/>
      </c:catAx>
      <c:valAx>
        <c:axId val="434225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2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P2'!$B$1</c:f>
              <c:strCache>
                <c:ptCount val="1"/>
                <c:pt idx="0">
                  <c:v>Product 2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'Forecast P2'!$A$2:$A$21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P2'!$B$2:$B$21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E-4F9B-AD14-42CEACFFF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2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P2'!$B$24:$B$43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BB-48CE-A5C5-19C63259B36C}"/>
            </c:ext>
          </c:extLst>
        </c:ser>
        <c:ser>
          <c:idx val="2"/>
          <c:order val="1"/>
          <c:tx>
            <c:v>Moving Avg (2 weeks)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P2'!$C$24:$C$43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0</c:v>
                </c:pt>
                <c:pt idx="2">
                  <c:v>154.5</c:v>
                </c:pt>
                <c:pt idx="3">
                  <c:v>171</c:v>
                </c:pt>
                <c:pt idx="4">
                  <c:v>189</c:v>
                </c:pt>
                <c:pt idx="5">
                  <c:v>207.5</c:v>
                </c:pt>
                <c:pt idx="6">
                  <c:v>210</c:v>
                </c:pt>
                <c:pt idx="7">
                  <c:v>187.5</c:v>
                </c:pt>
                <c:pt idx="8">
                  <c:v>156</c:v>
                </c:pt>
                <c:pt idx="9">
                  <c:v>130.5</c:v>
                </c:pt>
                <c:pt idx="10">
                  <c:v>133</c:v>
                </c:pt>
                <c:pt idx="11">
                  <c:v>154.5</c:v>
                </c:pt>
                <c:pt idx="12">
                  <c:v>171</c:v>
                </c:pt>
                <c:pt idx="13">
                  <c:v>189.5</c:v>
                </c:pt>
                <c:pt idx="14">
                  <c:v>209.5</c:v>
                </c:pt>
                <c:pt idx="15">
                  <c:v>214</c:v>
                </c:pt>
                <c:pt idx="16">
                  <c:v>191.5</c:v>
                </c:pt>
                <c:pt idx="17">
                  <c:v>157.5</c:v>
                </c:pt>
                <c:pt idx="18">
                  <c:v>130.5</c:v>
                </c:pt>
                <c:pt idx="19">
                  <c:v>133.5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BB-48CE-A5C5-19C63259B36C}"/>
            </c:ext>
          </c:extLst>
        </c:ser>
        <c:ser>
          <c:idx val="3"/>
          <c:order val="2"/>
          <c:tx>
            <c:v>Exp Smoothing (0.99)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P2'!$AM$50:$AM$69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145</c:v>
                </c:pt>
                <c:pt idx="2">
                  <c:v>163.80999999999997</c:v>
                </c:pt>
                <c:pt idx="3">
                  <c:v>177.85810000000001</c:v>
                </c:pt>
                <c:pt idx="4">
                  <c:v>199.778581</c:v>
                </c:pt>
                <c:pt idx="5">
                  <c:v>214.84778581</c:v>
                </c:pt>
                <c:pt idx="6">
                  <c:v>205.09847785809998</c:v>
                </c:pt>
                <c:pt idx="7">
                  <c:v>170.35098477858102</c:v>
                </c:pt>
                <c:pt idx="8">
                  <c:v>142.28350984778584</c:v>
                </c:pt>
                <c:pt idx="9">
                  <c:v>119.23283509847786</c:v>
                </c:pt>
                <c:pt idx="10">
                  <c:v>146.72232835098478</c:v>
                </c:pt>
                <c:pt idx="11">
                  <c:v>161.84722328350983</c:v>
                </c:pt>
                <c:pt idx="12">
                  <c:v>179.81847223283509</c:v>
                </c:pt>
                <c:pt idx="13">
                  <c:v>198.80818472232835</c:v>
                </c:pt>
                <c:pt idx="14">
                  <c:v>219.78808184722331</c:v>
                </c:pt>
                <c:pt idx="15">
                  <c:v>208.11788081847223</c:v>
                </c:pt>
                <c:pt idx="16">
                  <c:v>175.33117880818472</c:v>
                </c:pt>
                <c:pt idx="17">
                  <c:v>140.35331178808184</c:v>
                </c:pt>
                <c:pt idx="18">
                  <c:v>121.19353311788082</c:v>
                </c:pt>
                <c:pt idx="19">
                  <c:v>145.7519353311788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BB-48CE-A5C5-19C63259B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2 -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yVal>
            <c:numRef>
              <c:f>'Forecast P2 - Trend'!$B$2:$B$21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63-46E0-B4C7-6DD8A5941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8735"/>
        <c:axId val="461392671"/>
      </c:scatterChart>
      <c:valAx>
        <c:axId val="1906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92671"/>
        <c:crosses val="autoZero"/>
        <c:crossBetween val="midCat"/>
      </c:valAx>
      <c:valAx>
        <c:axId val="46139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2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P2 - Trend'!$B$2:$B$21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4-4FE2-A4E9-A7705DC2CE66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C4FF-427C-8EF6-CDD57257EE11}"/>
              </c:ext>
            </c:extLst>
          </c:dPt>
          <c:val>
            <c:numRef>
              <c:f>'Forecast P2 - Trend'!$G$24:$G$43</c:f>
              <c:numCache>
                <c:formatCode>0.000</c:formatCode>
                <c:ptCount val="20"/>
                <c:pt idx="0">
                  <c:v>184.233</c:v>
                </c:pt>
                <c:pt idx="1">
                  <c:v>113.64756999999997</c:v>
                </c:pt>
                <c:pt idx="2">
                  <c:v>164.4744953</c:v>
                </c:pt>
                <c:pt idx="3">
                  <c:v>193.11284663700005</c:v>
                </c:pt>
                <c:pt idx="4">
                  <c:v>221.35527599472999</c:v>
                </c:pt>
                <c:pt idx="5">
                  <c:v>232.53174537477167</c:v>
                </c:pt>
                <c:pt idx="6">
                  <c:v>202.34867855921075</c:v>
                </c:pt>
                <c:pt idx="7">
                  <c:v>141.62794224469394</c:v>
                </c:pt>
                <c:pt idx="8">
                  <c:v>110.65723539504015</c:v>
                </c:pt>
                <c:pt idx="9">
                  <c:v>93.617804040092267</c:v>
                </c:pt>
                <c:pt idx="10">
                  <c:v>251.8603</c:v>
                </c:pt>
                <c:pt idx="11">
                  <c:v>92.629486999999983</c:v>
                </c:pt>
                <c:pt idx="12">
                  <c:v>163.67652122999996</c:v>
                </c:pt>
                <c:pt idx="13">
                  <c:v>216.49324245669999</c:v>
                </c:pt>
                <c:pt idx="14">
                  <c:v>243.51538818944297</c:v>
                </c:pt>
                <c:pt idx="15">
                  <c:v>206.65013832926851</c:v>
                </c:pt>
                <c:pt idx="16">
                  <c:v>147.62700129654351</c:v>
                </c:pt>
                <c:pt idx="17">
                  <c:v>104.04681654307078</c:v>
                </c:pt>
                <c:pt idx="18">
                  <c:v>96.320876667836174</c:v>
                </c:pt>
                <c:pt idx="19">
                  <c:v>158.28837257936539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4-4FE2-A4E9-A7705DC2C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670975"/>
        <c:axId val="434225119"/>
      </c:lineChart>
      <c:catAx>
        <c:axId val="3486709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25119"/>
        <c:crosses val="autoZero"/>
        <c:auto val="1"/>
        <c:lblAlgn val="ctr"/>
        <c:lblOffset val="100"/>
        <c:noMultiLvlLbl val="0"/>
      </c:catAx>
      <c:valAx>
        <c:axId val="434225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2 -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yVal>
            <c:numRef>
              <c:f>'Forecast P2 - Seasonality'!$B$2:$B$21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7C-4424-8610-E9A6942A5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8735"/>
        <c:axId val="461392671"/>
      </c:scatterChart>
      <c:valAx>
        <c:axId val="1906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92671"/>
        <c:crosses val="autoZero"/>
        <c:crossBetween val="midCat"/>
      </c:valAx>
      <c:valAx>
        <c:axId val="46139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2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P2 - Seasonality'!$B$2:$B$21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B3-412F-9157-5255A803B27A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P2 - Seasonality'!$G$24:$G$43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0.000">
                  <c:v>0</c:v>
                </c:pt>
                <c:pt idx="9" formatCode="0.000">
                  <c:v>145</c:v>
                </c:pt>
                <c:pt idx="10" formatCode="0.000">
                  <c:v>122.24</c:v>
                </c:pt>
                <c:pt idx="11" formatCode="0.000">
                  <c:v>165.92868866571018</c:v>
                </c:pt>
                <c:pt idx="12" formatCode="0.000">
                  <c:v>246.81268696829471</c:v>
                </c:pt>
                <c:pt idx="13" formatCode="0.000">
                  <c:v>350.11639746253712</c:v>
                </c:pt>
                <c:pt idx="14" formatCode="0.000">
                  <c:v>238.38657937891585</c:v>
                </c:pt>
                <c:pt idx="15" formatCode="0.000">
                  <c:v>203.29069994570412</c:v>
                </c:pt>
                <c:pt idx="16" formatCode="0.000">
                  <c:v>170.71994468546865</c:v>
                </c:pt>
                <c:pt idx="17" formatCode="0.000">
                  <c:v>137.32744346026311</c:v>
                </c:pt>
                <c:pt idx="18" formatCode="0.000">
                  <c:v>136.2910587046253</c:v>
                </c:pt>
                <c:pt idx="19" formatCode="0.000">
                  <c:v>142.97522389972033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B3-412F-9157-5255A803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54127"/>
        <c:axId val="95684127"/>
      </c:lineChart>
      <c:catAx>
        <c:axId val="36954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84127"/>
        <c:crosses val="autoZero"/>
        <c:auto val="1"/>
        <c:lblAlgn val="ctr"/>
        <c:lblOffset val="100"/>
        <c:noMultiLvlLbl val="0"/>
      </c:catAx>
      <c:valAx>
        <c:axId val="956841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5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2 - Demand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'Forecast P2 - Seasonality Trend'!$A$2:$A$21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P2 - Seasonality Trend'!$B$2:$B$21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A-4FC9-A68E-054478F50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8591"/>
        <c:axId val="2009086591"/>
      </c:scatterChart>
      <c:valAx>
        <c:axId val="2079285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086591"/>
        <c:crosses val="autoZero"/>
        <c:crossBetween val="midCat"/>
      </c:valAx>
      <c:valAx>
        <c:axId val="20090865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28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P2 - Seasonality Trend'!$T$22:$T$41</c:f>
              <c:numCache>
                <c:formatCode>General</c:formatCode>
                <c:ptCount val="20"/>
                <c:pt idx="0">
                  <c:v>145</c:v>
                </c:pt>
                <c:pt idx="1">
                  <c:v>164</c:v>
                </c:pt>
                <c:pt idx="2">
                  <c:v>178</c:v>
                </c:pt>
                <c:pt idx="3">
                  <c:v>200</c:v>
                </c:pt>
                <c:pt idx="4">
                  <c:v>215</c:v>
                </c:pt>
                <c:pt idx="5">
                  <c:v>205</c:v>
                </c:pt>
                <c:pt idx="6">
                  <c:v>170</c:v>
                </c:pt>
                <c:pt idx="7">
                  <c:v>142</c:v>
                </c:pt>
                <c:pt idx="8">
                  <c:v>119</c:v>
                </c:pt>
                <c:pt idx="9">
                  <c:v>147</c:v>
                </c:pt>
                <c:pt idx="10">
                  <c:v>162</c:v>
                </c:pt>
                <c:pt idx="11">
                  <c:v>180</c:v>
                </c:pt>
                <c:pt idx="12">
                  <c:v>199</c:v>
                </c:pt>
                <c:pt idx="13">
                  <c:v>220</c:v>
                </c:pt>
                <c:pt idx="14">
                  <c:v>208</c:v>
                </c:pt>
                <c:pt idx="15">
                  <c:v>175</c:v>
                </c:pt>
                <c:pt idx="16">
                  <c:v>140</c:v>
                </c:pt>
                <c:pt idx="17">
                  <c:v>121</c:v>
                </c:pt>
                <c:pt idx="18">
                  <c:v>146</c:v>
                </c:pt>
                <c:pt idx="19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6-440B-900D-18AAF8B53465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P2 - Seasonality Trend'!$U$22:$U$46</c:f>
              <c:numCache>
                <c:formatCode>General</c:formatCode>
                <c:ptCount val="25"/>
                <c:pt idx="9">
                  <c:v>144.21146494324236</c:v>
                </c:pt>
                <c:pt idx="10">
                  <c:v>164.39948213031457</c:v>
                </c:pt>
                <c:pt idx="11">
                  <c:v>176.94810898184025</c:v>
                </c:pt>
                <c:pt idx="12">
                  <c:v>200.40581969486504</c:v>
                </c:pt>
                <c:pt idx="13">
                  <c:v>214.93904751259464</c:v>
                </c:pt>
                <c:pt idx="14">
                  <c:v>207.9030633259618</c:v>
                </c:pt>
                <c:pt idx="15">
                  <c:v>173.54180509271623</c:v>
                </c:pt>
                <c:pt idx="16">
                  <c:v>146.61030319530764</c:v>
                </c:pt>
                <c:pt idx="17">
                  <c:v>120.17700459922621</c:v>
                </c:pt>
                <c:pt idx="18">
                  <c:v>149.1046869181497</c:v>
                </c:pt>
                <c:pt idx="19">
                  <c:v>162.30346344507896</c:v>
                </c:pt>
                <c:pt idx="20">
                  <c:v>175.63357359388553</c:v>
                </c:pt>
                <c:pt idx="21">
                  <c:v>191.4468965319258</c:v>
                </c:pt>
                <c:pt idx="22">
                  <c:v>205.9499413702824</c:v>
                </c:pt>
                <c:pt idx="23">
                  <c:v>190.17706050483682</c:v>
                </c:pt>
                <c:pt idx="24">
                  <c:v>155.43767477620545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6-440B-900D-18AAF8B53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46207"/>
        <c:axId val="352109455"/>
      </c:lineChart>
      <c:catAx>
        <c:axId val="195846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09455"/>
        <c:crosses val="autoZero"/>
        <c:auto val="1"/>
        <c:lblAlgn val="ctr"/>
        <c:lblOffset val="100"/>
        <c:noMultiLvlLbl val="0"/>
      </c:catAx>
      <c:valAx>
        <c:axId val="3521094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6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P3'!$B$1</c:f>
              <c:strCache>
                <c:ptCount val="1"/>
                <c:pt idx="0">
                  <c:v>Product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'Forecast P3'!$A$2:$A$21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P3'!$B$2:$B$21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1-413D-ACCB-D6A58197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Normal Probability Plot</a:t>
            </a:r>
          </a:p>
        </c:rich>
      </c:tx>
      <c:layout>
        <c:manualLayout>
          <c:xMode val="edge"/>
          <c:yMode val="edge"/>
          <c:x val="0.27933218192285547"/>
          <c:y val="3.960396039603960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'Product 3'!#REF!</c:f>
            </c:numRef>
          </c:xVal>
          <c:yVal>
            <c:numRef>
              <c:f>'Product 3'!#REF!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5E-4247-A4FF-FB04A17FC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05055"/>
        <c:axId val="459425231"/>
      </c:scatterChart>
      <c:valAx>
        <c:axId val="43590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9425231"/>
        <c:crosses val="autoZero"/>
        <c:crossBetween val="midCat"/>
      </c:valAx>
      <c:valAx>
        <c:axId val="459425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59050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P3'!$B$24:$B$43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DA-4BE5-B4BD-4F964AA40883}"/>
            </c:ext>
          </c:extLst>
        </c:ser>
        <c:ser>
          <c:idx val="2"/>
          <c:order val="1"/>
          <c:tx>
            <c:v>Moving Avg (4 weeks)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P3'!$E$24:$E$43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">
                  <c:v>0</c:v>
                </c:pt>
                <c:pt idx="4" formatCode="0.0">
                  <c:v>76.75</c:v>
                </c:pt>
                <c:pt idx="5" formatCode="0.0">
                  <c:v>79.25</c:v>
                </c:pt>
                <c:pt idx="6" formatCode="0.0">
                  <c:v>80</c:v>
                </c:pt>
                <c:pt idx="7" formatCode="0.0">
                  <c:v>81</c:v>
                </c:pt>
                <c:pt idx="8" formatCode="0.0">
                  <c:v>82.75</c:v>
                </c:pt>
                <c:pt idx="9" formatCode="0.0">
                  <c:v>84</c:v>
                </c:pt>
                <c:pt idx="10" formatCode="0.0">
                  <c:v>84.75</c:v>
                </c:pt>
                <c:pt idx="11" formatCode="0.0">
                  <c:v>85.75</c:v>
                </c:pt>
                <c:pt idx="12" formatCode="0.0">
                  <c:v>87</c:v>
                </c:pt>
                <c:pt idx="13" formatCode="0.0">
                  <c:v>88.5</c:v>
                </c:pt>
                <c:pt idx="14" formatCode="0.0">
                  <c:v>89.75</c:v>
                </c:pt>
                <c:pt idx="15" formatCode="0.0">
                  <c:v>91.25</c:v>
                </c:pt>
                <c:pt idx="16" formatCode="0.0">
                  <c:v>92.25</c:v>
                </c:pt>
                <c:pt idx="17" formatCode="0.0">
                  <c:v>94</c:v>
                </c:pt>
                <c:pt idx="18" formatCode="0.0">
                  <c:v>95.5</c:v>
                </c:pt>
                <c:pt idx="19" formatCode="0.0">
                  <c:v>96.75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DA-4BE5-B4BD-4F964AA40883}"/>
            </c:ext>
          </c:extLst>
        </c:ser>
        <c:ser>
          <c:idx val="3"/>
          <c:order val="2"/>
          <c:tx>
            <c:v>Exp Smoothing (0.25)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P3'!$G$50:$G$69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100</c:v>
                </c:pt>
                <c:pt idx="2">
                  <c:v>95.5</c:v>
                </c:pt>
                <c:pt idx="3">
                  <c:v>89.125</c:v>
                </c:pt>
                <c:pt idx="4">
                  <c:v>80.59375</c:v>
                </c:pt>
                <c:pt idx="5">
                  <c:v>87.9453125</c:v>
                </c:pt>
                <c:pt idx="6">
                  <c:v>87.208984375</c:v>
                </c:pt>
                <c:pt idx="7">
                  <c:v>83.90673828125</c:v>
                </c:pt>
                <c:pt idx="8">
                  <c:v>78.4300537109375</c:v>
                </c:pt>
                <c:pt idx="9">
                  <c:v>87.572540283203125</c:v>
                </c:pt>
                <c:pt idx="10">
                  <c:v>87.679405212402344</c:v>
                </c:pt>
                <c:pt idx="11">
                  <c:v>85.259553909301758</c:v>
                </c:pt>
                <c:pt idx="12">
                  <c:v>80.694665431976318</c:v>
                </c:pt>
                <c:pt idx="13">
                  <c:v>90.770999073982239</c:v>
                </c:pt>
                <c:pt idx="14">
                  <c:v>91.328249305486679</c:v>
                </c:pt>
                <c:pt idx="15">
                  <c:v>89.496186979115009</c:v>
                </c:pt>
                <c:pt idx="16">
                  <c:v>84.872140234336257</c:v>
                </c:pt>
                <c:pt idx="17">
                  <c:v>95.654105175752193</c:v>
                </c:pt>
                <c:pt idx="18">
                  <c:v>96.490578881814145</c:v>
                </c:pt>
                <c:pt idx="19">
                  <c:v>94.617934161360608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DA-4BE5-B4BD-4F964AA40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yVal>
            <c:numRef>
              <c:f>'Forecast P3 - Trend'!$B$2:$B$21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B1-4777-AB7E-36E502366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8735"/>
        <c:axId val="461392671"/>
      </c:scatterChart>
      <c:valAx>
        <c:axId val="1906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92671"/>
        <c:crosses val="autoZero"/>
        <c:crossBetween val="midCat"/>
      </c:valAx>
      <c:valAx>
        <c:axId val="46139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3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Trend'!$B$2:$B$21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0-43CB-B72B-8E78E29DE9BF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Trend'!$G$24:$G$43</c:f>
              <c:numCache>
                <c:formatCode>0.000</c:formatCode>
                <c:ptCount val="20"/>
                <c:pt idx="0">
                  <c:v>80.963999999999999</c:v>
                </c:pt>
                <c:pt idx="1">
                  <c:v>114.21256000000001</c:v>
                </c:pt>
                <c:pt idx="2">
                  <c:v>75.245242399999995</c:v>
                </c:pt>
                <c:pt idx="3">
                  <c:v>56.29986429600001</c:v>
                </c:pt>
                <c:pt idx="4">
                  <c:v>39.852436405840002</c:v>
                </c:pt>
                <c:pt idx="5">
                  <c:v>144.5272201280936</c:v>
                </c:pt>
                <c:pt idx="6">
                  <c:v>84.277650196563144</c:v>
                </c:pt>
                <c:pt idx="7">
                  <c:v>60.027796544193976</c:v>
                </c:pt>
                <c:pt idx="8">
                  <c:v>48.400295978159932</c:v>
                </c:pt>
                <c:pt idx="9">
                  <c:v>148.88330617924697</c:v>
                </c:pt>
                <c:pt idx="10">
                  <c:v>79.539699999999996</c:v>
                </c:pt>
                <c:pt idx="11">
                  <c:v>77.676513</c:v>
                </c:pt>
                <c:pt idx="12">
                  <c:v>58.942218770000011</c:v>
                </c:pt>
                <c:pt idx="13">
                  <c:v>155.93559214330003</c:v>
                </c:pt>
                <c:pt idx="14">
                  <c:v>89.457099844556993</c:v>
                </c:pt>
                <c:pt idx="15">
                  <c:v>70.288999740591521</c:v>
                </c:pt>
                <c:pt idx="16">
                  <c:v>57.248099940315839</c:v>
                </c:pt>
                <c:pt idx="17">
                  <c:v>164.55304900863246</c:v>
                </c:pt>
                <c:pt idx="18">
                  <c:v>96.08557421847182</c:v>
                </c:pt>
                <c:pt idx="19">
                  <c:v>74.4995116224936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0-43CB-B72B-8E78E29DE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15519"/>
        <c:axId val="352113199"/>
      </c:lineChart>
      <c:catAx>
        <c:axId val="1996155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13199"/>
        <c:crosses val="autoZero"/>
        <c:auto val="1"/>
        <c:lblAlgn val="ctr"/>
        <c:lblOffset val="100"/>
        <c:noMultiLvlLbl val="0"/>
      </c:catAx>
      <c:valAx>
        <c:axId val="3521131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1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Seasonality'!$B$2:$B$21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B-4E99-9F23-0477A6B59F7A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Seasonality'!$G$24:$G$43</c:f>
              <c:numCache>
                <c:formatCode>0.000</c:formatCode>
                <c:ptCount val="20"/>
                <c:pt idx="4">
                  <c:v>100</c:v>
                </c:pt>
                <c:pt idx="5">
                  <c:v>89.38</c:v>
                </c:pt>
                <c:pt idx="6">
                  <c:v>72.93487804878049</c:v>
                </c:pt>
                <c:pt idx="7">
                  <c:v>58.05916898954704</c:v>
                </c:pt>
                <c:pt idx="8">
                  <c:v>112.93561746780854</c:v>
                </c:pt>
                <c:pt idx="9">
                  <c:v>92.929108962204651</c:v>
                </c:pt>
                <c:pt idx="10">
                  <c:v>75.991343662851989</c:v>
                </c:pt>
                <c:pt idx="11">
                  <c:v>61.400160452461094</c:v>
                </c:pt>
                <c:pt idx="12">
                  <c:v>121.29626952674076</c:v>
                </c:pt>
                <c:pt idx="13">
                  <c:v>97.328712363048837</c:v>
                </c:pt>
                <c:pt idx="14">
                  <c:v>80.825042015863914</c:v>
                </c:pt>
                <c:pt idx="15">
                  <c:v>66.390106535469258</c:v>
                </c:pt>
                <c:pt idx="16">
                  <c:v>127.78193160307208</c:v>
                </c:pt>
                <c:pt idx="17">
                  <c:v>102.51001528430211</c:v>
                </c:pt>
                <c:pt idx="18">
                  <c:v>86.599140087115515</c:v>
                </c:pt>
                <c:pt idx="19">
                  <c:v>70.591441115131005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B-4E99-9F23-0477A6B59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87423"/>
        <c:axId val="2103717823"/>
      </c:lineChart>
      <c:catAx>
        <c:axId val="199687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717823"/>
        <c:crosses val="autoZero"/>
        <c:auto val="1"/>
        <c:lblAlgn val="ctr"/>
        <c:lblOffset val="100"/>
        <c:noMultiLvlLbl val="0"/>
      </c:catAx>
      <c:valAx>
        <c:axId val="210371782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87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3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'Forecast P3 - Seasonality Trend'!$A$2:$A$21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P3 - Seasonality Trend'!$B$2:$B$21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A-4DB6-85E0-9D03E09D3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8591"/>
        <c:axId val="2009086591"/>
      </c:scatterChart>
      <c:valAx>
        <c:axId val="2079285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086591"/>
        <c:crosses val="autoZero"/>
        <c:crossBetween val="midCat"/>
      </c:valAx>
      <c:valAx>
        <c:axId val="20090865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28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Seasonality Trend'!$U$23:$U$42</c:f>
              <c:numCache>
                <c:formatCode>General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8-4EF2-AF33-F6F9A5048CE9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P3 - Seasonality Trend'!$V$23:$V$47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100.88364233058213</c:v>
                </c:pt>
                <c:pt idx="5">
                  <c:v>81.685458883802568</c:v>
                </c:pt>
                <c:pt idx="6">
                  <c:v>70.129976896662399</c:v>
                </c:pt>
                <c:pt idx="7">
                  <c:v>55.381258834683827</c:v>
                </c:pt>
                <c:pt idx="8">
                  <c:v>116.08986311547119</c:v>
                </c:pt>
                <c:pt idx="9">
                  <c:v>90.267091294957453</c:v>
                </c:pt>
                <c:pt idx="10">
                  <c:v>77.92106944498444</c:v>
                </c:pt>
                <c:pt idx="11">
                  <c:v>63.939113073370279</c:v>
                </c:pt>
                <c:pt idx="12">
                  <c:v>121.76660744524507</c:v>
                </c:pt>
                <c:pt idx="13">
                  <c:v>93.591672323305687</c:v>
                </c:pt>
                <c:pt idx="14">
                  <c:v>82.496111271008601</c:v>
                </c:pt>
                <c:pt idx="15">
                  <c:v>70.105646091891117</c:v>
                </c:pt>
                <c:pt idx="16">
                  <c:v>128.00227359837729</c:v>
                </c:pt>
                <c:pt idx="17">
                  <c:v>98.421800798624545</c:v>
                </c:pt>
                <c:pt idx="18">
                  <c:v>88.400201181049042</c:v>
                </c:pt>
                <c:pt idx="19">
                  <c:v>74.730528072259133</c:v>
                </c:pt>
                <c:pt idx="20" formatCode="General">
                  <c:v>131.23032574583266</c:v>
                </c:pt>
                <c:pt idx="21" formatCode="General">
                  <c:v>101.34374290282371</c:v>
                </c:pt>
                <c:pt idx="22" formatCode="General">
                  <c:v>91.030977477099938</c:v>
                </c:pt>
                <c:pt idx="23" formatCode="General">
                  <c:v>78.187607921339122</c:v>
                </c:pt>
                <c:pt idx="24" formatCode="General">
                  <c:v>138.18798419795627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D8-4EF2-AF33-F6F9A5048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46207"/>
        <c:axId val="352109455"/>
      </c:lineChart>
      <c:catAx>
        <c:axId val="195846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09455"/>
        <c:crosses val="autoZero"/>
        <c:auto val="1"/>
        <c:lblAlgn val="ctr"/>
        <c:lblOffset val="100"/>
        <c:noMultiLvlLbl val="0"/>
      </c:catAx>
      <c:valAx>
        <c:axId val="3521094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6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'Forecast P4'!$B$1</c:f>
              <c:strCache>
                <c:ptCount val="1"/>
                <c:pt idx="0">
                  <c:v>Product 4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'Forecast P4'!$A$2:$A$21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'Forecast P4'!$B$2:$B$21</c:f>
              <c:numCache>
                <c:formatCode>General</c:formatCode>
                <c:ptCount val="20"/>
                <c:pt idx="0">
                  <c:v>18</c:v>
                </c:pt>
                <c:pt idx="1">
                  <c:v>22</c:v>
                </c:pt>
                <c:pt idx="2">
                  <c:v>25</c:v>
                </c:pt>
                <c:pt idx="3">
                  <c:v>27</c:v>
                </c:pt>
                <c:pt idx="4">
                  <c:v>32</c:v>
                </c:pt>
                <c:pt idx="5">
                  <c:v>35</c:v>
                </c:pt>
                <c:pt idx="6">
                  <c:v>39</c:v>
                </c:pt>
                <c:pt idx="7">
                  <c:v>41</c:v>
                </c:pt>
                <c:pt idx="8">
                  <c:v>43</c:v>
                </c:pt>
                <c:pt idx="9">
                  <c:v>47</c:v>
                </c:pt>
                <c:pt idx="10">
                  <c:v>53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64</c:v>
                </c:pt>
                <c:pt idx="15">
                  <c:v>66</c:v>
                </c:pt>
                <c:pt idx="16">
                  <c:v>69</c:v>
                </c:pt>
                <c:pt idx="17">
                  <c:v>72</c:v>
                </c:pt>
                <c:pt idx="18">
                  <c:v>75</c:v>
                </c:pt>
                <c:pt idx="1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6E-4AED-AA5C-B960122C0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69583"/>
        <c:axId val="379387375"/>
      </c:scatterChart>
      <c:valAx>
        <c:axId val="375569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87375"/>
        <c:crosses val="autoZero"/>
        <c:crossBetween val="midCat"/>
      </c:valAx>
      <c:valAx>
        <c:axId val="379387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69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4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'Forecast P4'!$H$72:$H$96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'Forecast P4'!$I$72:$I$96</c:f>
              <c:numCache>
                <c:formatCode>General</c:formatCode>
                <c:ptCount val="25"/>
                <c:pt idx="0">
                  <c:v>18</c:v>
                </c:pt>
                <c:pt idx="1">
                  <c:v>22</c:v>
                </c:pt>
                <c:pt idx="2">
                  <c:v>25</c:v>
                </c:pt>
                <c:pt idx="3">
                  <c:v>27</c:v>
                </c:pt>
                <c:pt idx="4">
                  <c:v>32</c:v>
                </c:pt>
                <c:pt idx="5">
                  <c:v>35</c:v>
                </c:pt>
                <c:pt idx="6">
                  <c:v>39</c:v>
                </c:pt>
                <c:pt idx="7">
                  <c:v>41</c:v>
                </c:pt>
                <c:pt idx="8">
                  <c:v>43</c:v>
                </c:pt>
                <c:pt idx="9">
                  <c:v>47</c:v>
                </c:pt>
                <c:pt idx="10">
                  <c:v>53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64</c:v>
                </c:pt>
                <c:pt idx="15">
                  <c:v>66</c:v>
                </c:pt>
                <c:pt idx="16">
                  <c:v>69</c:v>
                </c:pt>
                <c:pt idx="17">
                  <c:v>72</c:v>
                </c:pt>
                <c:pt idx="18">
                  <c:v>75</c:v>
                </c:pt>
                <c:pt idx="1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0-482F-AEA8-55BFC4D9C1D4}"/>
            </c:ext>
          </c:extLst>
        </c:ser>
        <c:ser>
          <c:idx val="1"/>
          <c:order val="1"/>
          <c:tx>
            <c:strRef>
              <c:f>'Forecast P4'!$J$71</c:f>
              <c:strCache>
                <c:ptCount val="1"/>
                <c:pt idx="0">
                  <c:v>Forecast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'Forecast P4'!$H$72:$H$96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'Forecast P4'!$J$72:$J$96</c:f>
              <c:numCache>
                <c:formatCode>General</c:formatCode>
                <c:ptCount val="25"/>
                <c:pt idx="0">
                  <c:v>18.857142857142854</c:v>
                </c:pt>
                <c:pt idx="1">
                  <c:v>22.030075187969924</c:v>
                </c:pt>
                <c:pt idx="2">
                  <c:v>25.203007518796991</c:v>
                </c:pt>
                <c:pt idx="3">
                  <c:v>28.375939849624061</c:v>
                </c:pt>
                <c:pt idx="4">
                  <c:v>31.548872180451127</c:v>
                </c:pt>
                <c:pt idx="5">
                  <c:v>34.721804511278194</c:v>
                </c:pt>
                <c:pt idx="6">
                  <c:v>37.89473684210526</c:v>
                </c:pt>
                <c:pt idx="7">
                  <c:v>41.067669172932327</c:v>
                </c:pt>
                <c:pt idx="8">
                  <c:v>44.240601503759393</c:v>
                </c:pt>
                <c:pt idx="9">
                  <c:v>47.413533834586467</c:v>
                </c:pt>
                <c:pt idx="10">
                  <c:v>50.586466165413533</c:v>
                </c:pt>
                <c:pt idx="11">
                  <c:v>53.7593984962406</c:v>
                </c:pt>
                <c:pt idx="12">
                  <c:v>56.932330827067666</c:v>
                </c:pt>
                <c:pt idx="13">
                  <c:v>60.10526315789474</c:v>
                </c:pt>
                <c:pt idx="14">
                  <c:v>63.278195488721806</c:v>
                </c:pt>
                <c:pt idx="15">
                  <c:v>66.451127819548873</c:v>
                </c:pt>
                <c:pt idx="16">
                  <c:v>69.624060150375939</c:v>
                </c:pt>
                <c:pt idx="17">
                  <c:v>72.796992481203006</c:v>
                </c:pt>
                <c:pt idx="18">
                  <c:v>75.969924812030087</c:v>
                </c:pt>
                <c:pt idx="19">
                  <c:v>79.142857142857139</c:v>
                </c:pt>
                <c:pt idx="20">
                  <c:v>82.31578947368422</c:v>
                </c:pt>
                <c:pt idx="21">
                  <c:v>85.488721804511272</c:v>
                </c:pt>
                <c:pt idx="22">
                  <c:v>88.661654135338352</c:v>
                </c:pt>
                <c:pt idx="23">
                  <c:v>91.834586466165405</c:v>
                </c:pt>
                <c:pt idx="24">
                  <c:v>95.007518796992485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A0-482F-AEA8-55BFC4D9C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840320"/>
        <c:axId val="1227940592"/>
      </c:lineChart>
      <c:catAx>
        <c:axId val="1381840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940592"/>
        <c:crosses val="autoZero"/>
        <c:auto val="1"/>
        <c:lblAlgn val="ctr"/>
        <c:lblOffset val="100"/>
        <c:noMultiLvlLbl val="0"/>
      </c:catAx>
      <c:valAx>
        <c:axId val="1227940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4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[1]Graphs!$E$1</c:f>
              <c:strCache>
                <c:ptCount val="1"/>
                <c:pt idx="0">
                  <c:v>Product 4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[1]Graphs!$A$2:$A$21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[1]Graphs!$E$2:$E$21</c:f>
              <c:numCache>
                <c:formatCode>General</c:formatCode>
                <c:ptCount val="20"/>
                <c:pt idx="0">
                  <c:v>18</c:v>
                </c:pt>
                <c:pt idx="1">
                  <c:v>22</c:v>
                </c:pt>
                <c:pt idx="2">
                  <c:v>25</c:v>
                </c:pt>
                <c:pt idx="3">
                  <c:v>27</c:v>
                </c:pt>
                <c:pt idx="4">
                  <c:v>32</c:v>
                </c:pt>
                <c:pt idx="5">
                  <c:v>35</c:v>
                </c:pt>
                <c:pt idx="6">
                  <c:v>39</c:v>
                </c:pt>
                <c:pt idx="7">
                  <c:v>41</c:v>
                </c:pt>
                <c:pt idx="8">
                  <c:v>43</c:v>
                </c:pt>
                <c:pt idx="9">
                  <c:v>47</c:v>
                </c:pt>
                <c:pt idx="10">
                  <c:v>53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64</c:v>
                </c:pt>
                <c:pt idx="15">
                  <c:v>66</c:v>
                </c:pt>
                <c:pt idx="16">
                  <c:v>69</c:v>
                </c:pt>
                <c:pt idx="17">
                  <c:v>72</c:v>
                </c:pt>
                <c:pt idx="18">
                  <c:v>75</c:v>
                </c:pt>
                <c:pt idx="1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5A-44A7-A17E-622087888F6C}"/>
            </c:ext>
          </c:extLst>
        </c:ser>
        <c:ser>
          <c:idx val="1"/>
          <c:order val="1"/>
          <c:tx>
            <c:v>Forecast</c:v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'Gaussian random walk P4'!$A$22:$A$26</c:f>
              <c:numCache>
                <c:formatCode>General</c:formatCode>
                <c:ptCount val="5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</c:numCache>
            </c:numRef>
          </c:xVal>
          <c:yVal>
            <c:numRef>
              <c:f>'Gaussian random walk P4'!$D$22:$D$26</c:f>
              <c:numCache>
                <c:formatCode>General</c:formatCode>
                <c:ptCount val="5"/>
                <c:pt idx="0">
                  <c:v>82.21052631578948</c:v>
                </c:pt>
                <c:pt idx="1">
                  <c:v>85.421052631578959</c:v>
                </c:pt>
                <c:pt idx="2">
                  <c:v>88.631578947368439</c:v>
                </c:pt>
                <c:pt idx="3">
                  <c:v>91.842105263157919</c:v>
                </c:pt>
                <c:pt idx="4">
                  <c:v>95.052631578947398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5A-44A7-A17E-622087888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732191"/>
        <c:axId val="1851883791"/>
      </c:scatterChart>
      <c:valAx>
        <c:axId val="169273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883791"/>
        <c:crosses val="autoZero"/>
        <c:crossBetween val="midCat"/>
      </c:valAx>
      <c:valAx>
        <c:axId val="185188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3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'Forecast P5'!$B$2:$B$21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2A-4592-9BC2-81737156D7E6}"/>
            </c:ext>
          </c:extLst>
        </c:ser>
        <c:ser>
          <c:idx val="0"/>
          <c:order val="1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yVal>
            <c:numRef>
              <c:f>'Forecast P5'!$B$2:$B$21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2A-4592-9BC2-81737156D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21504"/>
        <c:axId val="172915056"/>
      </c:scatterChart>
      <c:valAx>
        <c:axId val="16802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15056"/>
        <c:crosses val="autoZero"/>
        <c:crossBetween val="midCat"/>
      </c:valAx>
      <c:valAx>
        <c:axId val="172915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P5'!$B$24:$B$43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5D-40D6-8605-B2093DDB80E6}"/>
            </c:ext>
          </c:extLst>
        </c:ser>
        <c:ser>
          <c:idx val="2"/>
          <c:order val="1"/>
          <c:tx>
            <c:v>Moving Avg (8 weeks)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P5'!$K$24:$K$43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">
                  <c:v>0</c:v>
                </c:pt>
                <c:pt idx="5" formatCode="0.0">
                  <c:v>0</c:v>
                </c:pt>
                <c:pt idx="6" formatCode="0.0">
                  <c:v>0</c:v>
                </c:pt>
                <c:pt idx="7" formatCode="0.0">
                  <c:v>0</c:v>
                </c:pt>
                <c:pt idx="8" formatCode="0.0">
                  <c:v>51.375</c:v>
                </c:pt>
                <c:pt idx="9" formatCode="0.0">
                  <c:v>51</c:v>
                </c:pt>
                <c:pt idx="10" formatCode="0.0">
                  <c:v>50.5</c:v>
                </c:pt>
                <c:pt idx="11" formatCode="0.0">
                  <c:v>47.25</c:v>
                </c:pt>
                <c:pt idx="12" formatCode="0.0">
                  <c:v>48</c:v>
                </c:pt>
                <c:pt idx="13" formatCode="0.0">
                  <c:v>51</c:v>
                </c:pt>
                <c:pt idx="14" formatCode="0.0">
                  <c:v>50.25</c:v>
                </c:pt>
                <c:pt idx="15" formatCode="0.0">
                  <c:v>47.5</c:v>
                </c:pt>
                <c:pt idx="16" formatCode="0.0">
                  <c:v>45</c:v>
                </c:pt>
                <c:pt idx="17" formatCode="0.0">
                  <c:v>45.125</c:v>
                </c:pt>
                <c:pt idx="18" formatCode="0.0">
                  <c:v>44.625</c:v>
                </c:pt>
                <c:pt idx="19" formatCode="0.0">
                  <c:v>47.75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A5D-40D6-8605-B2093DDB80E6}"/>
            </c:ext>
          </c:extLst>
        </c:ser>
        <c:ser>
          <c:idx val="3"/>
          <c:order val="2"/>
          <c:tx>
            <c:v>Exp Smoothing (0.2)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P5'!$A$57:$A$76</c:f>
              <c:numCache>
                <c:formatCode>0.0</c:formatCode>
                <c:ptCount val="20"/>
                <c:pt idx="0" formatCode="General">
                  <c:v>0</c:v>
                </c:pt>
                <c:pt idx="1">
                  <c:v>55</c:v>
                </c:pt>
                <c:pt idx="2">
                  <c:v>53.2</c:v>
                </c:pt>
                <c:pt idx="3">
                  <c:v>54.160000000000004</c:v>
                </c:pt>
                <c:pt idx="4">
                  <c:v>50.728000000000002</c:v>
                </c:pt>
                <c:pt idx="5">
                  <c:v>46.982400000000005</c:v>
                </c:pt>
                <c:pt idx="6">
                  <c:v>47.18592000000001</c:v>
                </c:pt>
                <c:pt idx="7">
                  <c:v>51.148736000000007</c:v>
                </c:pt>
                <c:pt idx="8">
                  <c:v>54.51898880000001</c:v>
                </c:pt>
                <c:pt idx="9">
                  <c:v>54.015191040000012</c:v>
                </c:pt>
                <c:pt idx="10">
                  <c:v>52.212152832000015</c:v>
                </c:pt>
                <c:pt idx="11">
                  <c:v>52.369722265600018</c:v>
                </c:pt>
                <c:pt idx="12">
                  <c:v>50.495777812480021</c:v>
                </c:pt>
                <c:pt idx="13">
                  <c:v>47.796622249984019</c:v>
                </c:pt>
                <c:pt idx="14">
                  <c:v>50.437297799987221</c:v>
                </c:pt>
                <c:pt idx="15">
                  <c:v>49.349838239989779</c:v>
                </c:pt>
                <c:pt idx="16">
                  <c:v>49.079870591991828</c:v>
                </c:pt>
                <c:pt idx="17">
                  <c:v>49.863896473593464</c:v>
                </c:pt>
                <c:pt idx="18">
                  <c:v>47.491117178874774</c:v>
                </c:pt>
                <c:pt idx="19">
                  <c:v>49.392893743099819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5D-40D6-8605-B2093DDB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21504"/>
        <c:axId val="172915056"/>
      </c:scatterChart>
      <c:valAx>
        <c:axId val="16802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15056"/>
        <c:crosses val="autoZero"/>
        <c:crossBetween val="midCat"/>
      </c:valAx>
      <c:valAx>
        <c:axId val="172915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2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Actual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P5'!$Q$23:$Q$42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6-413F-9279-523E62CAE4A0}"/>
            </c:ext>
          </c:extLst>
        </c:ser>
        <c:ser>
          <c:idx val="2"/>
          <c:order val="1"/>
          <c:tx>
            <c:v>Moving Avg (8 weeks)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yVal>
            <c:numRef>
              <c:f>'Forecast P5'!$R$23:$R$47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51.375</c:v>
                </c:pt>
                <c:pt idx="9">
                  <c:v>51</c:v>
                </c:pt>
                <c:pt idx="10">
                  <c:v>50.5</c:v>
                </c:pt>
                <c:pt idx="11">
                  <c:v>47.25</c:v>
                </c:pt>
                <c:pt idx="12">
                  <c:v>48</c:v>
                </c:pt>
                <c:pt idx="13">
                  <c:v>51</c:v>
                </c:pt>
                <c:pt idx="14">
                  <c:v>50.25</c:v>
                </c:pt>
                <c:pt idx="15">
                  <c:v>47.5</c:v>
                </c:pt>
                <c:pt idx="16">
                  <c:v>45</c:v>
                </c:pt>
                <c:pt idx="17">
                  <c:v>45.125</c:v>
                </c:pt>
                <c:pt idx="18">
                  <c:v>44.625</c:v>
                </c:pt>
                <c:pt idx="19">
                  <c:v>47.75</c:v>
                </c:pt>
                <c:pt idx="20">
                  <c:v>47.375</c:v>
                </c:pt>
                <c:pt idx="21">
                  <c:v>48.671875</c:v>
                </c:pt>
                <c:pt idx="22">
                  <c:v>47.130859375</c:v>
                </c:pt>
                <c:pt idx="23">
                  <c:v>47.397216796875</c:v>
                </c:pt>
                <c:pt idx="24">
                  <c:v>47.321868896484375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6-413F-9279-523E62CAE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21504"/>
        <c:axId val="172915056"/>
      </c:scatterChart>
      <c:valAx>
        <c:axId val="168021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15056"/>
        <c:crosses val="autoZero"/>
        <c:crossBetween val="midCat"/>
      </c:valAx>
      <c:valAx>
        <c:axId val="172915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2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yVal>
            <c:numRef>
              <c:f>'Forecast P5 - Trend'!$B$2:$B$21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60-4182-90E3-5F9558A7F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8735"/>
        <c:axId val="461392671"/>
      </c:scatterChart>
      <c:valAx>
        <c:axId val="19060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92671"/>
        <c:crosses val="autoZero"/>
        <c:crossBetween val="midCat"/>
      </c:valAx>
      <c:valAx>
        <c:axId val="46139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Product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P5 - Trend'!$B$2:$B$21</c:f>
              <c:numCache>
                <c:formatCode>General</c:formatCode>
                <c:ptCount val="20"/>
                <c:pt idx="0">
                  <c:v>55</c:v>
                </c:pt>
                <c:pt idx="1">
                  <c:v>46</c:v>
                </c:pt>
                <c:pt idx="2">
                  <c:v>58</c:v>
                </c:pt>
                <c:pt idx="3">
                  <c:v>37</c:v>
                </c:pt>
                <c:pt idx="4">
                  <c:v>32</c:v>
                </c:pt>
                <c:pt idx="5">
                  <c:v>48</c:v>
                </c:pt>
                <c:pt idx="6">
                  <c:v>67</c:v>
                </c:pt>
                <c:pt idx="7">
                  <c:v>68</c:v>
                </c:pt>
                <c:pt idx="8">
                  <c:v>52</c:v>
                </c:pt>
                <c:pt idx="9">
                  <c:v>42</c:v>
                </c:pt>
                <c:pt idx="10">
                  <c:v>32</c:v>
                </c:pt>
                <c:pt idx="11">
                  <c:v>43</c:v>
                </c:pt>
                <c:pt idx="12">
                  <c:v>37</c:v>
                </c:pt>
                <c:pt idx="13">
                  <c:v>61</c:v>
                </c:pt>
                <c:pt idx="14">
                  <c:v>45</c:v>
                </c:pt>
                <c:pt idx="15">
                  <c:v>48</c:v>
                </c:pt>
                <c:pt idx="16">
                  <c:v>53</c:v>
                </c:pt>
                <c:pt idx="17">
                  <c:v>38</c:v>
                </c:pt>
                <c:pt idx="18">
                  <c:v>57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3-477C-93E8-8F061C607F8E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'Forecast P5 - Trend'!$G$24:$G$43</c:f>
              <c:numCache>
                <c:formatCode>0.000</c:formatCode>
                <c:ptCount val="20"/>
                <c:pt idx="0">
                  <c:v>54.79323308270677</c:v>
                </c:pt>
                <c:pt idx="1">
                  <c:v>54.940037593984968</c:v>
                </c:pt>
                <c:pt idx="2">
                  <c:v>39.613287593984957</c:v>
                </c:pt>
                <c:pt idx="3">
                  <c:v>63.773849642857151</c:v>
                </c:pt>
                <c:pt idx="4">
                  <c:v>25.603087637030086</c:v>
                </c:pt>
                <c:pt idx="5">
                  <c:v>22.467510450453005</c:v>
                </c:pt>
                <c:pt idx="6">
                  <c:v>57.23526926692837</c:v>
                </c:pt>
                <c:pt idx="7">
                  <c:v>85.721477042363929</c:v>
                </c:pt>
                <c:pt idx="8">
                  <c:v>75.115701415592696</c:v>
                </c:pt>
                <c:pt idx="9">
                  <c:v>40.931405706285496</c:v>
                </c:pt>
                <c:pt idx="10">
                  <c:v>79.539699999999996</c:v>
                </c:pt>
                <c:pt idx="11">
                  <c:v>-0.98348700000000377</c:v>
                </c:pt>
                <c:pt idx="12">
                  <c:v>36.490818770000004</c:v>
                </c:pt>
                <c:pt idx="13">
                  <c:v>35.250686143300008</c:v>
                </c:pt>
                <c:pt idx="14">
                  <c:v>77.583617104556993</c:v>
                </c:pt>
                <c:pt idx="15">
                  <c:v>41.024180345991518</c:v>
                </c:pt>
                <c:pt idx="16">
                  <c:v>45.718650589881854</c:v>
                </c:pt>
                <c:pt idx="17">
                  <c:v>56.585990636466576</c:v>
                </c:pt>
                <c:pt idx="18">
                  <c:v>29.118072225587124</c:v>
                </c:pt>
                <c:pt idx="19">
                  <c:v>66.055641881773624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63-477C-93E8-8F061C607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15519"/>
        <c:axId val="352113199"/>
      </c:lineChart>
      <c:catAx>
        <c:axId val="1996155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13199"/>
        <c:crosses val="autoZero"/>
        <c:auto val="1"/>
        <c:lblAlgn val="ctr"/>
        <c:lblOffset val="100"/>
        <c:noMultiLvlLbl val="0"/>
      </c:catAx>
      <c:valAx>
        <c:axId val="3521131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1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Holt Winters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'Holt Winters Method'!$B$2:$B$21</c:f>
              <c:numCache>
                <c:formatCode>0.000</c:formatCode>
                <c:ptCount val="20"/>
                <c:pt idx="0">
                  <c:v>100</c:v>
                </c:pt>
                <c:pt idx="1">
                  <c:v>82</c:v>
                </c:pt>
                <c:pt idx="2">
                  <c:v>70</c:v>
                </c:pt>
                <c:pt idx="3">
                  <c:v>55</c:v>
                </c:pt>
                <c:pt idx="4">
                  <c:v>110</c:v>
                </c:pt>
                <c:pt idx="5">
                  <c:v>85</c:v>
                </c:pt>
                <c:pt idx="6">
                  <c:v>74</c:v>
                </c:pt>
                <c:pt idx="7">
                  <c:v>62</c:v>
                </c:pt>
                <c:pt idx="8">
                  <c:v>115</c:v>
                </c:pt>
                <c:pt idx="9">
                  <c:v>88</c:v>
                </c:pt>
                <c:pt idx="10">
                  <c:v>78</c:v>
                </c:pt>
                <c:pt idx="11">
                  <c:v>67</c:v>
                </c:pt>
                <c:pt idx="12">
                  <c:v>121</c:v>
                </c:pt>
                <c:pt idx="13">
                  <c:v>93</c:v>
                </c:pt>
                <c:pt idx="14">
                  <c:v>84</c:v>
                </c:pt>
                <c:pt idx="15">
                  <c:v>71</c:v>
                </c:pt>
                <c:pt idx="16">
                  <c:v>128</c:v>
                </c:pt>
                <c:pt idx="17">
                  <c:v>99</c:v>
                </c:pt>
                <c:pt idx="18">
                  <c:v>89</c:v>
                </c:pt>
                <c:pt idx="1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68-0048-99D1-3B1BA53EC345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'Holt Winters Method'!$F$2:$F$21</c:f>
              <c:numCache>
                <c:formatCode>0.000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110.90810383969995</c:v>
                </c:pt>
                <c:pt idx="5">
                  <c:v>90.94464514855396</c:v>
                </c:pt>
                <c:pt idx="6">
                  <c:v>75.922511667305514</c:v>
                </c:pt>
                <c:pt idx="7">
                  <c:v>58.921404196021122</c:v>
                </c:pt>
                <c:pt idx="8">
                  <c:v>109.29425967329568</c:v>
                </c:pt>
                <c:pt idx="9">
                  <c:v>88.035801416580384</c:v>
                </c:pt>
                <c:pt idx="10">
                  <c:v>78.000068780000362</c:v>
                </c:pt>
                <c:pt idx="11">
                  <c:v>65.026350878287886</c:v>
                </c:pt>
                <c:pt idx="12">
                  <c:v>121.00000862306477</c:v>
                </c:pt>
                <c:pt idx="13">
                  <c:v>93.000054523534686</c:v>
                </c:pt>
                <c:pt idx="14">
                  <c:v>82.708214650243121</c:v>
                </c:pt>
                <c:pt idx="15">
                  <c:v>71.038508343072564</c:v>
                </c:pt>
                <c:pt idx="16">
                  <c:v>128.49126931305156</c:v>
                </c:pt>
                <c:pt idx="17">
                  <c:v>98.699988819571729</c:v>
                </c:pt>
                <c:pt idx="18">
                  <c:v>88.849212945688578</c:v>
                </c:pt>
                <c:pt idx="19">
                  <c:v>75.119169132818968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68-0048-99D1-3B1BA53EC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13711"/>
        <c:axId val="117234480"/>
      </c:lineChart>
      <c:catAx>
        <c:axId val="1871913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234480"/>
        <c:crosses val="autoZero"/>
        <c:auto val="1"/>
        <c:lblAlgn val="ctr"/>
        <c:lblOffset val="100"/>
        <c:noMultiLvlLbl val="0"/>
      </c:catAx>
      <c:valAx>
        <c:axId val="1172344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Forecast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91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201705</xdr:rowOff>
    </xdr:from>
    <xdr:to>
      <xdr:col>7</xdr:col>
      <xdr:colOff>952499</xdr:colOff>
      <xdr:row>14</xdr:row>
      <xdr:rowOff>11206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814916</xdr:colOff>
      <xdr:row>0</xdr:row>
      <xdr:rowOff>184151</xdr:rowOff>
    </xdr:from>
    <xdr:to>
      <xdr:col>14</xdr:col>
      <xdr:colOff>296333</xdr:colOff>
      <xdr:row>14</xdr:row>
      <xdr:rowOff>31751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190501</xdr:rowOff>
    </xdr:from>
    <xdr:to>
      <xdr:col>14</xdr:col>
      <xdr:colOff>306917</xdr:colOff>
      <xdr:row>34</xdr:row>
      <xdr:rowOff>148167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676274</xdr:colOff>
      <xdr:row>1</xdr:row>
      <xdr:rowOff>4763</xdr:rowOff>
    </xdr:from>
    <xdr:to>
      <xdr:col>8</xdr:col>
      <xdr:colOff>0</xdr:colOff>
      <xdr:row>13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560295</xdr:colOff>
      <xdr:row>1</xdr:row>
      <xdr:rowOff>1118</xdr:rowOff>
    </xdr:from>
    <xdr:to>
      <xdr:col>14</xdr:col>
      <xdr:colOff>201706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17</xdr:row>
          <xdr:rowOff>190500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0</xdr:rowOff>
    </xdr:from>
    <xdr:to>
      <xdr:col>7</xdr:col>
      <xdr:colOff>190500</xdr:colOff>
      <xdr:row>14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13</xdr:col>
      <xdr:colOff>425824</xdr:colOff>
      <xdr:row>15</xdr:row>
      <xdr:rowOff>11206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676274</xdr:colOff>
      <xdr:row>1</xdr:row>
      <xdr:rowOff>4762</xdr:rowOff>
    </xdr:from>
    <xdr:to>
      <xdr:col>8</xdr:col>
      <xdr:colOff>0</xdr:colOff>
      <xdr:row>15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560295</xdr:colOff>
      <xdr:row>1</xdr:row>
      <xdr:rowOff>1118</xdr:rowOff>
    </xdr:from>
    <xdr:to>
      <xdr:col>13</xdr:col>
      <xdr:colOff>1075765</xdr:colOff>
      <xdr:row>15</xdr:row>
      <xdr:rowOff>145676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1228725</xdr:colOff>
          <xdr:row>18</xdr:row>
          <xdr:rowOff>0</xdr:rowOff>
        </xdr:from>
        <xdr:to>
          <xdr:col>8</xdr:col>
          <xdr:colOff>47625</xdr:colOff>
          <xdr:row>20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E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676274</xdr:colOff>
      <xdr:row>1</xdr:row>
      <xdr:rowOff>4762</xdr:rowOff>
    </xdr:from>
    <xdr:to>
      <xdr:col>8</xdr:col>
      <xdr:colOff>0</xdr:colOff>
      <xdr:row>15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370416</xdr:colOff>
      <xdr:row>0</xdr:row>
      <xdr:rowOff>194733</xdr:rowOff>
    </xdr:from>
    <xdr:to>
      <xdr:col>14</xdr:col>
      <xdr:colOff>497416</xdr:colOff>
      <xdr:row>15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1162050</xdr:colOff>
          <xdr:row>19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Seasonality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733986</xdr:colOff>
      <xdr:row>0</xdr:row>
      <xdr:rowOff>191620</xdr:rowOff>
    </xdr:from>
    <xdr:to>
      <xdr:col>9</xdr:col>
      <xdr:colOff>128868</xdr:colOff>
      <xdr:row>15</xdr:row>
      <xdr:rowOff>66114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890867</xdr:colOff>
      <xdr:row>0</xdr:row>
      <xdr:rowOff>191620</xdr:rowOff>
    </xdr:from>
    <xdr:to>
      <xdr:col>15</xdr:col>
      <xdr:colOff>39220</xdr:colOff>
      <xdr:row>15</xdr:row>
      <xdr:rowOff>66114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0</xdr:rowOff>
        </xdr:from>
        <xdr:to>
          <xdr:col>9</xdr:col>
          <xdr:colOff>628650</xdr:colOff>
          <xdr:row>19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Seasonality with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0</xdr:rowOff>
    </xdr:from>
    <xdr:to>
      <xdr:col>7</xdr:col>
      <xdr:colOff>603250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3</xdr:row>
      <xdr:rowOff>0</xdr:rowOff>
    </xdr:from>
    <xdr:to>
      <xdr:col>22</xdr:col>
      <xdr:colOff>0</xdr:colOff>
      <xdr:row>13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201082</xdr:rowOff>
    </xdr:from>
    <xdr:to>
      <xdr:col>12</xdr:col>
      <xdr:colOff>582083</xdr:colOff>
      <xdr:row>14</xdr:row>
      <xdr:rowOff>148166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3921</xdr:colOff>
      <xdr:row>1</xdr:row>
      <xdr:rowOff>4761</xdr:rowOff>
    </xdr:from>
    <xdr:to>
      <xdr:col>7</xdr:col>
      <xdr:colOff>862853</xdr:colOff>
      <xdr:row>15</xdr:row>
      <xdr:rowOff>89646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1243231</xdr:colOff>
      <xdr:row>1</xdr:row>
      <xdr:rowOff>4233</xdr:rowOff>
    </xdr:from>
    <xdr:to>
      <xdr:col>13</xdr:col>
      <xdr:colOff>486211</xdr:colOff>
      <xdr:row>15</xdr:row>
      <xdr:rowOff>80433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18</xdr:row>
          <xdr:rowOff>0</xdr:rowOff>
        </xdr:from>
        <xdr:to>
          <xdr:col>7</xdr:col>
          <xdr:colOff>847725</xdr:colOff>
          <xdr:row>20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730251</xdr:colOff>
      <xdr:row>1</xdr:row>
      <xdr:rowOff>4234</xdr:rowOff>
    </xdr:from>
    <xdr:to>
      <xdr:col>8</xdr:col>
      <xdr:colOff>148167</xdr:colOff>
      <xdr:row>14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17</xdr:row>
          <xdr:rowOff>190500</xdr:rowOff>
        </xdr:from>
        <xdr:to>
          <xdr:col>7</xdr:col>
          <xdr:colOff>1123950</xdr:colOff>
          <xdr:row>19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Seasonality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733986</xdr:colOff>
      <xdr:row>0</xdr:row>
      <xdr:rowOff>191620</xdr:rowOff>
    </xdr:from>
    <xdr:to>
      <xdr:col>9</xdr:col>
      <xdr:colOff>128868</xdr:colOff>
      <xdr:row>15</xdr:row>
      <xdr:rowOff>66114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890867</xdr:colOff>
      <xdr:row>0</xdr:row>
      <xdr:rowOff>191620</xdr:rowOff>
    </xdr:from>
    <xdr:to>
      <xdr:col>15</xdr:col>
      <xdr:colOff>39220</xdr:colOff>
      <xdr:row>15</xdr:row>
      <xdr:rowOff>66114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0</xdr:rowOff>
        </xdr:from>
        <xdr:to>
          <xdr:col>9</xdr:col>
          <xdr:colOff>628650</xdr:colOff>
          <xdr:row>19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Seasonality with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824442</xdr:colOff>
      <xdr:row>0</xdr:row>
      <xdr:rowOff>190500</xdr:rowOff>
    </xdr:from>
    <xdr:to>
      <xdr:col>7</xdr:col>
      <xdr:colOff>476250</xdr:colOff>
      <xdr:row>15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560917</xdr:colOff>
      <xdr:row>0</xdr:row>
      <xdr:rowOff>194751</xdr:rowOff>
    </xdr:from>
    <xdr:to>
      <xdr:col>13</xdr:col>
      <xdr:colOff>306918</xdr:colOff>
      <xdr:row>15</xdr:row>
      <xdr:rowOff>69868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748</xdr:colOff>
      <xdr:row>1</xdr:row>
      <xdr:rowOff>3735</xdr:rowOff>
    </xdr:from>
    <xdr:to>
      <xdr:col>14</xdr:col>
      <xdr:colOff>434789</xdr:colOff>
      <xdr:row>14</xdr:row>
      <xdr:rowOff>54535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1016714</xdr:colOff>
      <xdr:row>1</xdr:row>
      <xdr:rowOff>10702</xdr:rowOff>
    </xdr:from>
    <xdr:to>
      <xdr:col>7</xdr:col>
      <xdr:colOff>214046</xdr:colOff>
      <xdr:row>14</xdr:row>
      <xdr:rowOff>32609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802669</xdr:colOff>
      <xdr:row>0</xdr:row>
      <xdr:rowOff>192641</xdr:rowOff>
    </xdr:from>
    <xdr:to>
      <xdr:col>12</xdr:col>
      <xdr:colOff>160534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</xdr:row>
      <xdr:rowOff>0</xdr:rowOff>
    </xdr:from>
    <xdr:to>
      <xdr:col>17</xdr:col>
      <xdr:colOff>898989</xdr:colOff>
      <xdr:row>14</xdr:row>
      <xdr:rowOff>10702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3921</xdr:colOff>
      <xdr:row>1</xdr:row>
      <xdr:rowOff>4761</xdr:rowOff>
    </xdr:from>
    <xdr:to>
      <xdr:col>7</xdr:col>
      <xdr:colOff>661147</xdr:colOff>
      <xdr:row>15</xdr:row>
      <xdr:rowOff>44822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10584</xdr:colOff>
      <xdr:row>1</xdr:row>
      <xdr:rowOff>4233</xdr:rowOff>
    </xdr:from>
    <xdr:to>
      <xdr:col>13</xdr:col>
      <xdr:colOff>497417</xdr:colOff>
      <xdr:row>15</xdr:row>
      <xdr:rowOff>80433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18</xdr:row>
          <xdr:rowOff>0</xdr:rowOff>
        </xdr:from>
        <xdr:to>
          <xdr:col>7</xdr:col>
          <xdr:colOff>933450</xdr:colOff>
          <xdr:row>20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Trend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631718</xdr:colOff>
      <xdr:row>0</xdr:row>
      <xdr:rowOff>196636</xdr:rowOff>
    </xdr:from>
    <xdr:to>
      <xdr:col>8</xdr:col>
      <xdr:colOff>3095518</xdr:colOff>
      <xdr:row>15</xdr:row>
      <xdr:rowOff>120293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hak/Downloads/140_Project_Forecasting_Product_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Avg &amp; Expo Smoothing"/>
      <sheetName val="Moving avg"/>
      <sheetName val="FIT"/>
      <sheetName val="Seasonality with no trend"/>
      <sheetName val="Linear Regression"/>
      <sheetName val="Graphs"/>
      <sheetName val="Chase Plan"/>
      <sheetName val="Level and Chase dynamic "/>
      <sheetName val="Level"/>
      <sheetName val="Gaussian Random Walk"/>
    </sheetNames>
    <sheetDataSet>
      <sheetData sheetId="0"/>
      <sheetData sheetId="1"/>
      <sheetData sheetId="2"/>
      <sheetData sheetId="3"/>
      <sheetData sheetId="4"/>
      <sheetData sheetId="5">
        <row r="1">
          <cell r="E1" t="str">
            <v>Product 4</v>
          </cell>
        </row>
        <row r="2">
          <cell r="A2">
            <v>1</v>
          </cell>
          <cell r="E2">
            <v>18</v>
          </cell>
        </row>
        <row r="3">
          <cell r="A3">
            <v>2</v>
          </cell>
          <cell r="E3">
            <v>22</v>
          </cell>
        </row>
        <row r="4">
          <cell r="A4">
            <v>3</v>
          </cell>
          <cell r="E4">
            <v>25</v>
          </cell>
        </row>
        <row r="5">
          <cell r="A5">
            <v>4</v>
          </cell>
          <cell r="E5">
            <v>27</v>
          </cell>
        </row>
        <row r="6">
          <cell r="A6">
            <v>5</v>
          </cell>
          <cell r="E6">
            <v>32</v>
          </cell>
        </row>
        <row r="7">
          <cell r="A7">
            <v>6</v>
          </cell>
          <cell r="E7">
            <v>35</v>
          </cell>
        </row>
        <row r="8">
          <cell r="A8">
            <v>7</v>
          </cell>
          <cell r="E8">
            <v>39</v>
          </cell>
        </row>
        <row r="9">
          <cell r="A9">
            <v>8</v>
          </cell>
          <cell r="E9">
            <v>41</v>
          </cell>
        </row>
        <row r="10">
          <cell r="A10">
            <v>9</v>
          </cell>
          <cell r="E10">
            <v>43</v>
          </cell>
        </row>
        <row r="11">
          <cell r="A11">
            <v>10</v>
          </cell>
          <cell r="E11">
            <v>47</v>
          </cell>
        </row>
        <row r="12">
          <cell r="A12">
            <v>11</v>
          </cell>
          <cell r="E12">
            <v>53</v>
          </cell>
        </row>
        <row r="13">
          <cell r="A13">
            <v>12</v>
          </cell>
          <cell r="E13">
            <v>55</v>
          </cell>
        </row>
        <row r="14">
          <cell r="A14">
            <v>13</v>
          </cell>
          <cell r="E14">
            <v>58</v>
          </cell>
        </row>
        <row r="15">
          <cell r="A15">
            <v>14</v>
          </cell>
          <cell r="E15">
            <v>60</v>
          </cell>
        </row>
        <row r="16">
          <cell r="A16">
            <v>15</v>
          </cell>
          <cell r="E16">
            <v>64</v>
          </cell>
        </row>
        <row r="17">
          <cell r="A17">
            <v>16</v>
          </cell>
          <cell r="E17">
            <v>66</v>
          </cell>
        </row>
        <row r="18">
          <cell r="A18">
            <v>17</v>
          </cell>
          <cell r="E18">
            <v>69</v>
          </cell>
        </row>
        <row r="19">
          <cell r="A19">
            <v>18</v>
          </cell>
          <cell r="E19">
            <v>72</v>
          </cell>
        </row>
        <row r="20">
          <cell r="A20">
            <v>19</v>
          </cell>
          <cell r="E20">
            <v>75</v>
          </cell>
        </row>
        <row r="21">
          <cell r="A21">
            <v>20</v>
          </cell>
          <cell r="E21">
            <v>79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ehak Sanghi" id="{63BAD625-BCF0-42A9-8969-C68D1A0FFC36}" userId="d70707f9c96e6f9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3" dT="2019-12-01T07:00:49.53" personId="{63BAD625-BCF0-42A9-8969-C68D1A0FFC36}" id="{4673A2A3-AAB3-4B5E-B6E3-F472A4F6BF9A}">
    <text>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D0F7-A97A-444C-A7CC-D95CDEE96A12}">
  <sheetPr codeName="Sheet1"/>
  <dimension ref="C2:H34"/>
  <sheetViews>
    <sheetView zoomScale="85" zoomScaleNormal="85" workbookViewId="0">
      <selection activeCell="I17" sqref="I16:I17"/>
    </sheetView>
  </sheetViews>
  <sheetFormatPr defaultColWidth="9.140625" defaultRowHeight="15" x14ac:dyDescent="0.25"/>
  <cols>
    <col min="1" max="2" width="9.140625" style="1"/>
    <col min="3" max="3" width="12.7109375" style="1" bestFit="1" customWidth="1"/>
    <col min="4" max="4" width="44.7109375" style="1" bestFit="1" customWidth="1"/>
    <col min="5" max="5" width="11.5703125" style="1" bestFit="1" customWidth="1"/>
    <col min="6" max="16384" width="9.140625" style="1"/>
  </cols>
  <sheetData>
    <row r="2" spans="3:8" ht="15.75" thickBot="1" x14ac:dyDescent="0.3"/>
    <row r="3" spans="3:8" ht="15.75" thickBot="1" x14ac:dyDescent="0.3">
      <c r="C3" s="60" t="s">
        <v>75</v>
      </c>
      <c r="D3" s="77" t="s">
        <v>76</v>
      </c>
      <c r="E3" s="91" t="s">
        <v>6</v>
      </c>
      <c r="F3" s="81" t="s">
        <v>45</v>
      </c>
      <c r="G3" s="81" t="s">
        <v>46</v>
      </c>
      <c r="H3" s="61" t="s">
        <v>48</v>
      </c>
    </row>
    <row r="4" spans="3:8" x14ac:dyDescent="0.25">
      <c r="C4" s="301">
        <v>1</v>
      </c>
      <c r="D4" s="118" t="s">
        <v>77</v>
      </c>
      <c r="E4" s="42">
        <v>8.6666666666666661</v>
      </c>
      <c r="F4" s="82" t="s">
        <v>34</v>
      </c>
      <c r="G4" s="82" t="s">
        <v>34</v>
      </c>
      <c r="H4" s="90" t="s">
        <v>34</v>
      </c>
    </row>
    <row r="5" spans="3:8" x14ac:dyDescent="0.25">
      <c r="C5" s="302"/>
      <c r="D5" s="119" t="s">
        <v>78</v>
      </c>
      <c r="E5" s="42">
        <v>8.828125</v>
      </c>
      <c r="F5" s="7" t="s">
        <v>34</v>
      </c>
      <c r="G5" s="7" t="s">
        <v>34</v>
      </c>
      <c r="H5" s="8" t="s">
        <v>34</v>
      </c>
    </row>
    <row r="6" spans="3:8" x14ac:dyDescent="0.25">
      <c r="C6" s="302"/>
      <c r="D6" s="119" t="s">
        <v>79</v>
      </c>
      <c r="E6" s="42">
        <v>8.0000000000000018</v>
      </c>
      <c r="F6" s="7" t="s">
        <v>34</v>
      </c>
      <c r="G6" s="7" t="s">
        <v>34</v>
      </c>
      <c r="H6" s="97" t="s">
        <v>34</v>
      </c>
    </row>
    <row r="7" spans="3:8" x14ac:dyDescent="0.25">
      <c r="C7" s="302"/>
      <c r="D7" s="120" t="s">
        <v>83</v>
      </c>
      <c r="E7" s="96">
        <v>7.3140000000000001</v>
      </c>
      <c r="F7" s="7">
        <v>0.2</v>
      </c>
      <c r="G7" s="7" t="s">
        <v>34</v>
      </c>
      <c r="H7" s="8" t="s">
        <v>34</v>
      </c>
    </row>
    <row r="8" spans="3:8" ht="15.75" thickBot="1" x14ac:dyDescent="0.3">
      <c r="C8" s="303"/>
      <c r="D8" s="121" t="s">
        <v>93</v>
      </c>
      <c r="E8" s="43">
        <v>24.946892737051606</v>
      </c>
      <c r="F8" s="9">
        <v>0.7</v>
      </c>
      <c r="G8" s="9">
        <v>0.1</v>
      </c>
      <c r="H8" s="10"/>
    </row>
    <row r="9" spans="3:8" x14ac:dyDescent="0.25">
      <c r="C9" s="301">
        <v>2</v>
      </c>
      <c r="D9" s="118" t="s">
        <v>77</v>
      </c>
      <c r="E9" s="41">
        <v>27.972222222222221</v>
      </c>
      <c r="F9" s="45" t="s">
        <v>34</v>
      </c>
      <c r="G9" s="82" t="s">
        <v>34</v>
      </c>
      <c r="H9" s="90" t="s">
        <v>34</v>
      </c>
    </row>
    <row r="10" spans="3:8" x14ac:dyDescent="0.25">
      <c r="C10" s="302"/>
      <c r="D10" s="119" t="s">
        <v>78</v>
      </c>
      <c r="E10" s="42">
        <v>35.578125</v>
      </c>
      <c r="F10" s="11" t="s">
        <v>34</v>
      </c>
      <c r="G10" s="7" t="s">
        <v>34</v>
      </c>
      <c r="H10" s="8" t="s">
        <v>34</v>
      </c>
    </row>
    <row r="11" spans="3:8" x14ac:dyDescent="0.25">
      <c r="C11" s="302"/>
      <c r="D11" s="119" t="s">
        <v>79</v>
      </c>
      <c r="E11" s="42">
        <v>32.28</v>
      </c>
      <c r="F11" s="11" t="s">
        <v>34</v>
      </c>
      <c r="G11" s="7" t="s">
        <v>34</v>
      </c>
      <c r="H11" s="97" t="s">
        <v>34</v>
      </c>
    </row>
    <row r="12" spans="3:8" x14ac:dyDescent="0.25">
      <c r="C12" s="302"/>
      <c r="D12" s="119" t="s">
        <v>83</v>
      </c>
      <c r="E12" s="42">
        <v>21.43947465364387</v>
      </c>
      <c r="F12" s="11" t="s">
        <v>34</v>
      </c>
      <c r="G12" s="7" t="s">
        <v>34</v>
      </c>
      <c r="H12" s="8" t="s">
        <v>34</v>
      </c>
    </row>
    <row r="13" spans="3:8" x14ac:dyDescent="0.25">
      <c r="C13" s="302"/>
      <c r="D13" s="119" t="s">
        <v>80</v>
      </c>
      <c r="E13" s="42">
        <v>28.343345735943206</v>
      </c>
      <c r="F13" s="11">
        <v>0.9</v>
      </c>
      <c r="G13" s="7">
        <v>0.1</v>
      </c>
      <c r="H13" s="8" t="s">
        <v>34</v>
      </c>
    </row>
    <row r="14" spans="3:8" x14ac:dyDescent="0.25">
      <c r="C14" s="302"/>
      <c r="D14" s="119" t="s">
        <v>81</v>
      </c>
      <c r="E14" s="42">
        <v>9.7609999999999992</v>
      </c>
      <c r="F14" s="11">
        <v>0.1</v>
      </c>
      <c r="G14" s="7" t="s">
        <v>34</v>
      </c>
      <c r="H14" s="8">
        <v>0.9</v>
      </c>
    </row>
    <row r="15" spans="3:8" ht="15.75" thickBot="1" x14ac:dyDescent="0.3">
      <c r="C15" s="302"/>
      <c r="D15" s="120" t="s">
        <v>82</v>
      </c>
      <c r="E15" s="102">
        <v>2.6459999999999999</v>
      </c>
      <c r="F15" s="11">
        <v>0.4</v>
      </c>
      <c r="G15" s="7">
        <v>0.9</v>
      </c>
      <c r="H15" s="8">
        <v>0.9</v>
      </c>
    </row>
    <row r="16" spans="3:8" x14ac:dyDescent="0.25">
      <c r="C16" s="298">
        <v>3</v>
      </c>
      <c r="D16" s="122" t="s">
        <v>77</v>
      </c>
      <c r="E16" s="41">
        <v>22.361111111111111</v>
      </c>
      <c r="F16" s="82" t="s">
        <v>34</v>
      </c>
      <c r="G16" s="82" t="s">
        <v>34</v>
      </c>
      <c r="H16" s="90" t="s">
        <v>34</v>
      </c>
    </row>
    <row r="17" spans="3:8" x14ac:dyDescent="0.25">
      <c r="C17" s="299"/>
      <c r="D17" s="123" t="s">
        <v>78</v>
      </c>
      <c r="E17" s="42">
        <v>16.078125</v>
      </c>
      <c r="F17" s="7" t="s">
        <v>34</v>
      </c>
      <c r="G17" s="7" t="s">
        <v>34</v>
      </c>
      <c r="H17" s="8" t="s">
        <v>34</v>
      </c>
    </row>
    <row r="18" spans="3:8" x14ac:dyDescent="0.25">
      <c r="C18" s="299"/>
      <c r="D18" s="123" t="s">
        <v>79</v>
      </c>
      <c r="E18" s="42">
        <v>13.6</v>
      </c>
      <c r="F18" s="7" t="s">
        <v>34</v>
      </c>
      <c r="G18" s="7" t="s">
        <v>34</v>
      </c>
      <c r="H18" s="97" t="s">
        <v>34</v>
      </c>
    </row>
    <row r="19" spans="3:8" x14ac:dyDescent="0.25">
      <c r="C19" s="299"/>
      <c r="D19" s="123" t="s">
        <v>83</v>
      </c>
      <c r="E19" s="42">
        <v>18.419457352396996</v>
      </c>
      <c r="F19" s="7" t="s">
        <v>34</v>
      </c>
      <c r="G19" s="7" t="s">
        <v>34</v>
      </c>
      <c r="H19" s="8" t="s">
        <v>34</v>
      </c>
    </row>
    <row r="20" spans="3:8" x14ac:dyDescent="0.25">
      <c r="C20" s="299"/>
      <c r="D20" s="123" t="s">
        <v>80</v>
      </c>
      <c r="E20" s="42">
        <v>15.771000000000001</v>
      </c>
      <c r="F20" s="7">
        <v>0.1</v>
      </c>
      <c r="G20" s="7">
        <v>0.1</v>
      </c>
      <c r="H20" s="8" t="s">
        <v>34</v>
      </c>
    </row>
    <row r="21" spans="3:8" x14ac:dyDescent="0.25">
      <c r="C21" s="299"/>
      <c r="D21" s="123" t="s">
        <v>81</v>
      </c>
      <c r="E21" s="42">
        <v>2.2000000000000002</v>
      </c>
      <c r="F21" s="7">
        <v>0.6</v>
      </c>
      <c r="G21" s="7" t="s">
        <v>34</v>
      </c>
      <c r="H21" s="8">
        <v>0.9</v>
      </c>
    </row>
    <row r="22" spans="3:8" x14ac:dyDescent="0.25">
      <c r="C22" s="299"/>
      <c r="D22" s="124" t="s">
        <v>82</v>
      </c>
      <c r="E22" s="96">
        <v>2.2890000000000001</v>
      </c>
      <c r="F22" s="7">
        <v>0.1</v>
      </c>
      <c r="G22" s="7">
        <v>0.2</v>
      </c>
      <c r="H22" s="8">
        <v>0.8</v>
      </c>
    </row>
    <row r="23" spans="3:8" ht="15.75" thickBot="1" x14ac:dyDescent="0.3">
      <c r="C23" s="300"/>
      <c r="D23" s="125" t="s">
        <v>90</v>
      </c>
      <c r="E23" s="117">
        <v>2.3877852761235165</v>
      </c>
      <c r="F23" s="9" t="s">
        <v>34</v>
      </c>
      <c r="G23" s="9" t="s">
        <v>34</v>
      </c>
      <c r="H23" s="10" t="s">
        <v>34</v>
      </c>
    </row>
    <row r="24" spans="3:8" x14ac:dyDescent="0.25">
      <c r="C24" s="302">
        <v>4</v>
      </c>
      <c r="D24" s="119" t="s">
        <v>77</v>
      </c>
      <c r="E24" s="42">
        <v>4.5659722222222223</v>
      </c>
      <c r="F24" s="11" t="s">
        <v>34</v>
      </c>
      <c r="G24" s="7" t="s">
        <v>34</v>
      </c>
      <c r="H24" s="8" t="s">
        <v>34</v>
      </c>
    </row>
    <row r="25" spans="3:8" x14ac:dyDescent="0.25">
      <c r="C25" s="302"/>
      <c r="D25" s="119" t="s">
        <v>78</v>
      </c>
      <c r="E25" s="42">
        <v>7.8263888888888884</v>
      </c>
      <c r="F25" s="11" t="s">
        <v>34</v>
      </c>
      <c r="G25" s="7" t="s">
        <v>34</v>
      </c>
      <c r="H25" s="8" t="s">
        <v>34</v>
      </c>
    </row>
    <row r="26" spans="3:8" x14ac:dyDescent="0.25">
      <c r="C26" s="302"/>
      <c r="D26" s="119" t="s">
        <v>79</v>
      </c>
      <c r="E26" s="42">
        <v>7.7177777777777781</v>
      </c>
      <c r="F26" s="11" t="s">
        <v>34</v>
      </c>
      <c r="G26" s="7" t="s">
        <v>34</v>
      </c>
      <c r="H26" s="97" t="s">
        <v>34</v>
      </c>
    </row>
    <row r="27" spans="3:8" ht="15.75" thickBot="1" x14ac:dyDescent="0.3">
      <c r="C27" s="303"/>
      <c r="D27" s="126" t="s">
        <v>63</v>
      </c>
      <c r="E27" s="102">
        <v>0.72781954887218059</v>
      </c>
      <c r="F27" s="11" t="s">
        <v>34</v>
      </c>
      <c r="G27" s="7" t="s">
        <v>34</v>
      </c>
      <c r="H27" s="8" t="s">
        <v>34</v>
      </c>
    </row>
    <row r="28" spans="3:8" x14ac:dyDescent="0.25">
      <c r="C28" s="301">
        <v>5</v>
      </c>
      <c r="D28" s="118" t="s">
        <v>77</v>
      </c>
      <c r="E28" s="41">
        <v>11.777777777777779</v>
      </c>
      <c r="F28" s="45" t="s">
        <v>34</v>
      </c>
      <c r="G28" s="82" t="s">
        <v>34</v>
      </c>
      <c r="H28" s="90" t="s">
        <v>34</v>
      </c>
    </row>
    <row r="29" spans="3:8" x14ac:dyDescent="0.25">
      <c r="C29" s="302"/>
      <c r="D29" s="119" t="s">
        <v>78</v>
      </c>
      <c r="E29" s="42">
        <v>11.640625</v>
      </c>
      <c r="F29" s="11" t="s">
        <v>34</v>
      </c>
      <c r="G29" s="7" t="s">
        <v>34</v>
      </c>
      <c r="H29" s="8" t="s">
        <v>34</v>
      </c>
    </row>
    <row r="30" spans="3:8" x14ac:dyDescent="0.25">
      <c r="C30" s="302"/>
      <c r="D30" s="119" t="s">
        <v>79</v>
      </c>
      <c r="E30" s="42">
        <v>10.479999999999999</v>
      </c>
      <c r="F30" s="11" t="s">
        <v>34</v>
      </c>
      <c r="G30" s="7" t="s">
        <v>34</v>
      </c>
      <c r="H30" s="97" t="s">
        <v>34</v>
      </c>
    </row>
    <row r="31" spans="3:8" x14ac:dyDescent="0.25">
      <c r="C31" s="302"/>
      <c r="D31" s="119" t="s">
        <v>89</v>
      </c>
      <c r="E31" s="42">
        <v>10.785714285714286</v>
      </c>
      <c r="F31" s="11" t="s">
        <v>34</v>
      </c>
      <c r="G31" s="7" t="s">
        <v>34</v>
      </c>
      <c r="H31" s="8" t="s">
        <v>34</v>
      </c>
    </row>
    <row r="32" spans="3:8" x14ac:dyDescent="0.25">
      <c r="C32" s="302"/>
      <c r="D32" s="120" t="s">
        <v>84</v>
      </c>
      <c r="E32" s="96">
        <v>7.864583333333333</v>
      </c>
      <c r="F32" s="11" t="s">
        <v>34</v>
      </c>
      <c r="G32" s="7" t="s">
        <v>34</v>
      </c>
      <c r="H32" s="8" t="s">
        <v>34</v>
      </c>
    </row>
    <row r="33" spans="3:8" x14ac:dyDescent="0.25">
      <c r="C33" s="302"/>
      <c r="D33" s="119" t="s">
        <v>83</v>
      </c>
      <c r="E33" s="42">
        <v>9.9692744529944299</v>
      </c>
      <c r="F33" s="11">
        <v>0.2</v>
      </c>
      <c r="G33" s="7"/>
      <c r="H33" s="8" t="s">
        <v>34</v>
      </c>
    </row>
    <row r="34" spans="3:8" ht="15.75" thickBot="1" x14ac:dyDescent="0.3">
      <c r="C34" s="303"/>
      <c r="D34" s="121" t="s">
        <v>80</v>
      </c>
      <c r="E34" s="43">
        <v>13.448</v>
      </c>
      <c r="F34" s="27">
        <v>0.6</v>
      </c>
      <c r="G34" s="9">
        <v>0.2</v>
      </c>
      <c r="H34" s="10" t="s">
        <v>34</v>
      </c>
    </row>
  </sheetData>
  <mergeCells count="5">
    <mergeCell ref="C16:C23"/>
    <mergeCell ref="C4:C8"/>
    <mergeCell ref="C9:C15"/>
    <mergeCell ref="C28:C34"/>
    <mergeCell ref="C24:C27"/>
  </mergeCells>
  <hyperlinks>
    <hyperlink ref="D4" location="'Product 1'!A1" display="Moving average (2 weeks period)" xr:uid="{3CF7416E-DDE3-4FAC-9C15-FEBA8E844B70}"/>
    <hyperlink ref="D5" location="'Product 1'!A1" display="Moving average (4 weeks period)" xr:uid="{07C84A11-8AC0-41C3-BED6-48131FD8D420}"/>
    <hyperlink ref="D6" location="'Product 1'!A1" display="Moving average (5 weeks period)" xr:uid="{C575BE72-2A26-4807-B747-3C2612CD5FF2}"/>
    <hyperlink ref="D7" location="'Product 1'!A1" display="Exponential Smoothing without Trend Adjustment" xr:uid="{BEDA01CC-8A7A-411E-8CC9-8E2FBD37E9C5}"/>
    <hyperlink ref="D8" location="'Product 1 - Trend'!A1" display="Exponential Smoothing with Trend Adjustment" xr:uid="{784CE169-E3F0-40CB-92D2-E456125E96ED}"/>
    <hyperlink ref="D9" location="'Product 2'!A1" display="Moving average (2 weeks period)" xr:uid="{63955ADC-D4C3-4F7C-AA98-529AB6462022}"/>
    <hyperlink ref="D10" location="'Product 2'!A1" display="Moving average (4 weeks period)" xr:uid="{64D217F1-D1D6-4D15-B2AF-02E4E6DBD868}"/>
    <hyperlink ref="D11" location="'Product 2'!A1" display="Moving average (5 weeks period)" xr:uid="{E8B7561C-CAEE-4F49-94BB-52AE54A17CEC}"/>
    <hyperlink ref="D12" location="'Product 2'!A1" display="Exponential Smoothing without Trend Adjustment" xr:uid="{6E9C5F65-991F-43E1-ABBC-0B9D382CE002}"/>
    <hyperlink ref="D13" location="'Product 2 - Trend'!A1" display="Expoenential Smoothing with Trend Adjustment" xr:uid="{58D62E3D-A0E9-43B7-920D-881E248F675B}"/>
    <hyperlink ref="D14" location="'Product 2 - Seasonality'!A1" display="Seasonality without Trend Adjustment" xr:uid="{5842488F-08AC-4D1D-8072-238610832F55}"/>
    <hyperlink ref="D15" location="'Product 2 - Seasonality Trend'!A1" display="Seasonality with Trend Adjustment" xr:uid="{37C6D82F-561F-4051-994E-8A644A486854}"/>
    <hyperlink ref="D16" location="'Product 3'!A1" display="Moving average (2 weeks period)" xr:uid="{7E01821B-DA8C-41F3-8D30-5F5BA891EFD5}"/>
    <hyperlink ref="D17" location="'Product 3'!A1" display="Moving average (4 weeks period)" xr:uid="{B3C84935-4A20-420E-AC40-F4683007E39A}"/>
    <hyperlink ref="D18" location="'Product 3'!A1" display="Moving average (5 weeks period)" xr:uid="{72AD8C7E-FF93-4077-A7D0-066F3A3B3B66}"/>
    <hyperlink ref="D19" location="'Product 3'!A1" display="Exponential Smoothing without Trend Adjustment" xr:uid="{21D413AB-721D-47CC-A8DC-3CE89C0C2628}"/>
    <hyperlink ref="D20" location="'Product 3 - Trend'!A1" display="Expoenential Smoothing with Trend Adjustment" xr:uid="{9E6B44C2-7256-404D-B087-859356FC02B3}"/>
    <hyperlink ref="D21" location="'Product 3 - Seasonality'!A1" display="Seasonality without Trend Adjustment" xr:uid="{8B7287BD-B900-45BE-96A9-B48806CEC8B0}"/>
    <hyperlink ref="D22" location="'Product 3 - Seasonality Trend'!A1" display="Seasonality with Trend Adjustment" xr:uid="{65745A9A-20B6-4ED2-B175-7904022C49F0}"/>
    <hyperlink ref="D23" location="'Holt Winters Method'!A1" display="Holt Winter's" xr:uid="{4317CAEA-0D2A-493D-B4D3-99FBE4FD9EEA}"/>
    <hyperlink ref="D24" location="'Product 4'!A1" display="Moving average (2 weeks period)" xr:uid="{A0383E20-2757-4E7B-BABA-A7F8B2E2053D}"/>
    <hyperlink ref="D25" location="'Product 4'!A1" display="Moving average (4 weeks period)" xr:uid="{9B0D3D8E-27F1-4AB1-9941-A90722A43C93}"/>
    <hyperlink ref="D26" location="'Product 4'!A1" display="Moving average (5 weeks period)" xr:uid="{1CA55E92-C025-4952-917F-12601BA06073}"/>
    <hyperlink ref="D27" location="'Product 4'!A1" display="Regression Analysis" xr:uid="{DD28F225-27D1-48A3-905E-46A714D8DAE8}"/>
    <hyperlink ref="D28" location="'Product 5'!A1" display="Moving average (2 weeks period)" xr:uid="{365EB583-D8A5-4F62-98DC-1B93ADFCEA76}"/>
    <hyperlink ref="D29" location="'Product 5'!A1" display="Moving average (4 weeks period)" xr:uid="{D6CBB223-F3B1-4B35-960A-FB30634D3535}"/>
    <hyperlink ref="D30" location="'Product 5'!A1" display="Moving average (5 weeks period)" xr:uid="{7387C074-C9CF-4E98-A07A-A20B318CB6A2}"/>
    <hyperlink ref="D31" location="'Product 5'!A1" display="Moving average (6 weeks period)" xr:uid="{9E354DA4-F7C8-40F0-8D1F-96AAABD029DD}"/>
    <hyperlink ref="D32" location="'Product 5'!A1" display="Moving average (8 weeks period)" xr:uid="{B52251E3-D368-48AD-80B9-6A6112D61372}"/>
    <hyperlink ref="D33" location="'Product 5'!A1" display="Exponential Smoothing without Trend Adjustment" xr:uid="{16999DC2-25CA-4308-B685-E5DF5DD945B1}"/>
    <hyperlink ref="D34" location="'Product 5 - Trend'!A1" display="Expoenential Smoothing with Trend Adjustment" xr:uid="{8A5A18E2-A478-4BDD-8269-BE6C6DAB81BE}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4D57F-F24E-4579-9C87-313B2B11176D}">
  <dimension ref="A2:Q30"/>
  <sheetViews>
    <sheetView topLeftCell="E2" zoomScale="85" zoomScaleNormal="85" workbookViewId="0">
      <selection activeCell="N16" sqref="N16"/>
    </sheetView>
  </sheetViews>
  <sheetFormatPr defaultRowHeight="15" x14ac:dyDescent="0.25"/>
  <cols>
    <col min="1" max="1" width="18.140625" style="1" bestFit="1" customWidth="1"/>
    <col min="2" max="2" width="9.7109375" style="1" bestFit="1" customWidth="1"/>
    <col min="3" max="6" width="9.28515625" style="1" bestFit="1" customWidth="1"/>
    <col min="7" max="7" width="9.85546875" style="1" customWidth="1"/>
    <col min="8" max="8" width="29.140625" style="1" customWidth="1"/>
    <col min="9" max="9" width="18.140625" style="1" bestFit="1" customWidth="1"/>
    <col min="10" max="10" width="18.5703125" style="1" bestFit="1" customWidth="1"/>
    <col min="11" max="11" width="14.42578125" style="1" customWidth="1"/>
    <col min="12" max="12" width="14.85546875" style="1" customWidth="1"/>
    <col min="13" max="13" width="15.28515625" style="1" customWidth="1"/>
    <col min="14" max="14" width="23.140625" style="1" bestFit="1" customWidth="1"/>
    <col min="15" max="16" width="18" style="1" customWidth="1"/>
    <col min="17" max="16384" width="9.140625" style="1"/>
  </cols>
  <sheetData>
    <row r="2" spans="1:17" ht="15.75" thickBot="1" x14ac:dyDescent="0.3"/>
    <row r="3" spans="1:17" ht="15.75" thickBot="1" x14ac:dyDescent="0.3">
      <c r="A3" s="265" t="s">
        <v>194</v>
      </c>
      <c r="B3" s="266"/>
      <c r="C3" s="266"/>
      <c r="D3" s="266"/>
      <c r="E3" s="266"/>
      <c r="F3" s="266"/>
      <c r="G3" s="266"/>
      <c r="H3" s="267"/>
      <c r="J3" s="268" t="s">
        <v>114</v>
      </c>
      <c r="K3" s="269"/>
      <c r="L3" s="269"/>
      <c r="M3" s="270"/>
      <c r="P3" s="1" t="s">
        <v>193</v>
      </c>
      <c r="Q3" s="1" t="s">
        <v>192</v>
      </c>
    </row>
    <row r="4" spans="1:17" ht="30.75" thickBot="1" x14ac:dyDescent="0.3">
      <c r="A4" s="4" t="s">
        <v>115</v>
      </c>
      <c r="B4" s="2">
        <v>21</v>
      </c>
      <c r="C4" s="2">
        <v>22</v>
      </c>
      <c r="D4" s="2">
        <v>23</v>
      </c>
      <c r="E4" s="2">
        <v>24</v>
      </c>
      <c r="F4" s="3">
        <v>25</v>
      </c>
      <c r="G4" s="3" t="s">
        <v>95</v>
      </c>
      <c r="H4" s="258" t="s">
        <v>191</v>
      </c>
      <c r="J4" s="257" t="s">
        <v>190</v>
      </c>
      <c r="K4" s="244" t="s">
        <v>189</v>
      </c>
      <c r="L4" s="244" t="s">
        <v>188</v>
      </c>
      <c r="M4" s="244" t="s">
        <v>187</v>
      </c>
      <c r="O4" s="1" t="s">
        <v>186</v>
      </c>
      <c r="P4" s="187">
        <f>SUM(P14:P16,P18,P20)</f>
        <v>25.061472178314343</v>
      </c>
      <c r="Q4" s="1">
        <v>4500</v>
      </c>
    </row>
    <row r="5" spans="1:17" ht="15.75" thickBot="1" x14ac:dyDescent="0.3">
      <c r="A5" s="5" t="s">
        <v>185</v>
      </c>
      <c r="B5" s="185">
        <v>0</v>
      </c>
      <c r="C5" s="185">
        <v>961</v>
      </c>
      <c r="D5" s="185">
        <v>0</v>
      </c>
      <c r="E5" s="185">
        <v>448</v>
      </c>
      <c r="F5" s="195">
        <v>0</v>
      </c>
      <c r="G5" s="195">
        <f>SUM(B5:F5)</f>
        <v>1409</v>
      </c>
      <c r="H5" s="8">
        <v>7</v>
      </c>
      <c r="J5" s="256">
        <f>SUM(G5*H5,G6*H6,G7*H7,G8*H8)</f>
        <v>266063</v>
      </c>
      <c r="K5" s="255">
        <f>P4*Q4</f>
        <v>112776.62480241455</v>
      </c>
      <c r="L5" s="255">
        <f>P5*Q5</f>
        <v>11250</v>
      </c>
      <c r="M5" s="255">
        <f>SUM(J5,K5)-L5</f>
        <v>367589.62480241456</v>
      </c>
      <c r="O5" s="1" t="s">
        <v>184</v>
      </c>
      <c r="P5" s="187">
        <v>5</v>
      </c>
      <c r="Q5" s="1">
        <v>2250</v>
      </c>
    </row>
    <row r="6" spans="1:17" x14ac:dyDescent="0.25">
      <c r="A6" s="5" t="s">
        <v>183</v>
      </c>
      <c r="B6" s="185">
        <v>4266</v>
      </c>
      <c r="C6" s="185">
        <v>440</v>
      </c>
      <c r="D6" s="185">
        <v>2219</v>
      </c>
      <c r="E6" s="185">
        <v>395</v>
      </c>
      <c r="F6" s="195">
        <v>0</v>
      </c>
      <c r="G6" s="195">
        <f>SUM(B6:F6)</f>
        <v>7320</v>
      </c>
      <c r="H6" s="8">
        <v>25</v>
      </c>
    </row>
    <row r="7" spans="1:17" x14ac:dyDescent="0.25">
      <c r="A7" s="5" t="s">
        <v>182</v>
      </c>
      <c r="B7" s="185">
        <v>0</v>
      </c>
      <c r="C7" s="185">
        <v>200</v>
      </c>
      <c r="D7" s="185">
        <v>200</v>
      </c>
      <c r="E7" s="185">
        <v>0</v>
      </c>
      <c r="F7" s="195">
        <v>200</v>
      </c>
      <c r="G7" s="195">
        <f>SUM(B7:F7)</f>
        <v>600</v>
      </c>
      <c r="H7" s="8">
        <v>22</v>
      </c>
    </row>
    <row r="8" spans="1:17" ht="15.75" thickBot="1" x14ac:dyDescent="0.3">
      <c r="A8" s="6" t="s">
        <v>181</v>
      </c>
      <c r="B8" s="201">
        <v>1000</v>
      </c>
      <c r="C8" s="201">
        <v>2000</v>
      </c>
      <c r="D8" s="201">
        <v>0</v>
      </c>
      <c r="E8" s="201">
        <v>2000</v>
      </c>
      <c r="F8" s="200">
        <v>0</v>
      </c>
      <c r="G8" s="200">
        <f>SUM(B8:F8)</f>
        <v>5000</v>
      </c>
      <c r="H8" s="10">
        <v>12</v>
      </c>
    </row>
    <row r="9" spans="1:17" x14ac:dyDescent="0.25">
      <c r="A9" s="7"/>
      <c r="B9" s="185"/>
      <c r="C9" s="185"/>
      <c r="D9" s="185"/>
      <c r="E9" s="185"/>
      <c r="F9" s="185"/>
      <c r="G9" s="185"/>
    </row>
    <row r="10" spans="1:17" x14ac:dyDescent="0.25">
      <c r="A10" s="7"/>
      <c r="B10" s="185"/>
      <c r="C10" s="185"/>
      <c r="D10" s="185"/>
      <c r="E10" s="185"/>
      <c r="F10" s="185"/>
      <c r="G10" s="185"/>
    </row>
    <row r="11" spans="1:17" ht="15.75" thickBot="1" x14ac:dyDescent="0.3"/>
    <row r="12" spans="1:17" ht="15.75" thickBot="1" x14ac:dyDescent="0.3">
      <c r="A12" s="271" t="s">
        <v>180</v>
      </c>
      <c r="B12" s="272"/>
      <c r="C12" s="272"/>
      <c r="D12" s="272"/>
      <c r="E12" s="272"/>
      <c r="F12" s="273"/>
      <c r="H12" s="265" t="s">
        <v>179</v>
      </c>
      <c r="I12" s="266"/>
      <c r="J12" s="266"/>
      <c r="K12" s="266"/>
      <c r="L12" s="266"/>
      <c r="M12" s="266"/>
      <c r="N12" s="266"/>
      <c r="O12" s="266"/>
      <c r="P12" s="267"/>
    </row>
    <row r="13" spans="1:17" ht="43.5" thickBot="1" x14ac:dyDescent="0.3">
      <c r="A13" s="254" t="s">
        <v>166</v>
      </c>
      <c r="B13" s="253">
        <v>21</v>
      </c>
      <c r="C13" s="253">
        <v>22</v>
      </c>
      <c r="D13" s="253">
        <v>23</v>
      </c>
      <c r="E13" s="253">
        <v>24</v>
      </c>
      <c r="F13" s="252">
        <v>25</v>
      </c>
      <c r="H13" s="329" t="s">
        <v>178</v>
      </c>
      <c r="I13" s="251">
        <v>21</v>
      </c>
      <c r="J13" s="250">
        <v>22</v>
      </c>
      <c r="K13" s="250">
        <v>23</v>
      </c>
      <c r="L13" s="250">
        <v>24</v>
      </c>
      <c r="M13" s="331">
        <v>25</v>
      </c>
      <c r="N13" s="330" t="s">
        <v>177</v>
      </c>
      <c r="O13" s="249" t="s">
        <v>176</v>
      </c>
      <c r="P13" s="249" t="s">
        <v>175</v>
      </c>
      <c r="Q13" s="1" t="s">
        <v>100</v>
      </c>
    </row>
    <row r="14" spans="1:17" x14ac:dyDescent="0.25">
      <c r="A14" s="5">
        <v>1</v>
      </c>
      <c r="B14" s="54">
        <f>SUM(B5*'Time per unit'!$G$43,'Cap Planning'!B6*'Time per unit'!$G$17,'Cap Planning'!B7*'Time per unit'!$G$4,'Cap Planning'!B8*'Time per unit'!$G$30)</f>
        <v>85106.7</v>
      </c>
      <c r="C14" s="54">
        <f>SUM(C5*'Time per unit'!$G$43,'Cap Planning'!C6*'Time per unit'!$G$17,'Cap Planning'!C7*'Time per unit'!$G$4,'Cap Planning'!C8*'Time per unit'!$G$30)</f>
        <v>30816.381804667759</v>
      </c>
      <c r="D14" s="54">
        <f>SUM(D5*'Time per unit'!$G$43,'Cap Planning'!D6*'Time per unit'!$G$17,'Cap Planning'!D7*'Time per unit'!$G$4,'Cap Planning'!D8*'Time per unit'!$G$30)</f>
        <v>46895.231804667754</v>
      </c>
      <c r="E14" s="54">
        <f>SUM(E5*'Time per unit'!$G$43,'Cap Planning'!E6*'Time per unit'!$G$17,'Cap Planning'!E7*'Time per unit'!$G$4,'Cap Planning'!E8*'Time per unit'!$G$30)</f>
        <v>16929.849999999999</v>
      </c>
      <c r="F14" s="14">
        <f>SUM(F5*'Time per unit'!$G$43,'Cap Planning'!F6*'Time per unit'!$G$17,'Cap Planning'!F7*'Time per unit'!$G$4,'Cap Planning'!F8*'Time per unit'!$G$30)</f>
        <v>2626.1818046677568</v>
      </c>
      <c r="H14" s="188">
        <f>I24</f>
        <v>2150</v>
      </c>
      <c r="I14" s="193">
        <f>B14/$H$14</f>
        <v>39.584511627906977</v>
      </c>
      <c r="J14" s="54">
        <f>C14/$H$14</f>
        <v>14.333200839380353</v>
      </c>
      <c r="K14" s="54">
        <f>D14/$H$14</f>
        <v>21.811735723101283</v>
      </c>
      <c r="L14" s="54">
        <f>E14/$H$14</f>
        <v>7.8743488372093013</v>
      </c>
      <c r="M14" s="14">
        <f>F14/$H$14</f>
        <v>1.2214799091477939</v>
      </c>
      <c r="N14" s="14">
        <f t="shared" ref="N14:N20" si="0">AVERAGE(I14:M14)</f>
        <v>16.965055387349139</v>
      </c>
      <c r="O14" s="194">
        <v>10</v>
      </c>
      <c r="P14" s="194">
        <f t="shared" ref="P14:P20" si="1">N14-O14</f>
        <v>6.965055387349139</v>
      </c>
    </row>
    <row r="15" spans="1:17" x14ac:dyDescent="0.25">
      <c r="A15" s="5">
        <v>2</v>
      </c>
      <c r="B15" s="54">
        <f>SUM(B5*'Time per unit'!$G$44,'Cap Planning'!B6*'Time per unit'!$G$18,'Cap Planning'!B7*'Time per unit'!$G$5,'Cap Planning'!B8*'Time per unit'!$G$31)</f>
        <v>106616.35673229155</v>
      </c>
      <c r="C15" s="54">
        <f>SUM(C5*'Time per unit'!$G$44,'Cap Planning'!C6*'Time per unit'!$G$18,'Cap Planning'!C7*'Time per unit'!$G$5,'Cap Planning'!C8*'Time per unit'!$G$31)</f>
        <v>38936.107073918611</v>
      </c>
      <c r="D15" s="54">
        <f>SUM(D5*'Time per unit'!$G$44,'Cap Planning'!D6*'Time per unit'!$G$18,'Cap Planning'!D7*'Time per unit'!$G$5,'Cap Planning'!D8*'Time per unit'!$G$31)</f>
        <v>54855.788609335512</v>
      </c>
      <c r="E15" s="54">
        <f>SUM(E5*'Time per unit'!$G$44,'Cap Planning'!E6*'Time per unit'!$G$18,'Cap Planning'!E7*'Time per unit'!$G$5,'Cap Planning'!E8*'Time per unit'!$G$31)</f>
        <v>29561.678464583099</v>
      </c>
      <c r="F15" s="14">
        <f>SUM(F5*'Time per unit'!$G$44,'Cap Planning'!F6*'Time per unit'!$G$18,'Cap Planning'!F7*'Time per unit'!$G$5,'Cap Planning'!F8*'Time per unit'!$G$31)</f>
        <v>3652.3636093355135</v>
      </c>
      <c r="H15" s="184">
        <f t="shared" ref="H15:H20" si="2">I25</f>
        <v>2150</v>
      </c>
      <c r="I15" s="193">
        <f>B15/$H$15</f>
        <v>49.589003131298398</v>
      </c>
      <c r="J15" s="54">
        <f>C15/$H$15</f>
        <v>18.109817243683075</v>
      </c>
      <c r="K15" s="54">
        <f>D15/$H$15</f>
        <v>25.514320283411866</v>
      </c>
      <c r="L15" s="54">
        <f>E15/$H$15</f>
        <v>13.749617890503767</v>
      </c>
      <c r="M15" s="14">
        <f>F15/$H$15</f>
        <v>1.6987737717839597</v>
      </c>
      <c r="N15" s="14">
        <f t="shared" si="0"/>
        <v>21.732306464136212</v>
      </c>
      <c r="O15" s="194">
        <v>20</v>
      </c>
      <c r="P15" s="194">
        <f t="shared" si="1"/>
        <v>1.7323064641362116</v>
      </c>
    </row>
    <row r="16" spans="1:17" x14ac:dyDescent="0.25">
      <c r="A16" s="5">
        <v>3</v>
      </c>
      <c r="B16" s="54">
        <f>SUM(B5*'Time per unit'!$G$45,'Cap Planning'!B6*'Time per unit'!$G$19,'Cap Planning'!B7*'Time per unit'!$G$6,'Cap Planning'!B8*'Time per unit'!$G$32)</f>
        <v>78601.05</v>
      </c>
      <c r="C16" s="54">
        <f>SUM(C5*'Time per unit'!$G$45,'Cap Planning'!C6*'Time per unit'!$G$19,'Cap Planning'!C7*'Time per unit'!$G$6,'Cap Planning'!C8*'Time per unit'!$G$32)</f>
        <v>25984.082716292553</v>
      </c>
      <c r="D16" s="54">
        <f>SUM(D5*'Time per unit'!$G$45,'Cap Planning'!D6*'Time per unit'!$G$19,'Cap Planning'!D7*'Time per unit'!$G$6,'Cap Planning'!D8*'Time per unit'!$G$32)</f>
        <v>45106.347716292556</v>
      </c>
      <c r="E16" s="54">
        <f>SUM(E5*'Time per unit'!$G$45,'Cap Planning'!E6*'Time per unit'!$G$19,'Cap Planning'!E7*'Time per unit'!$G$6,'Cap Planning'!E8*'Time per unit'!$G$32)</f>
        <v>13643.955</v>
      </c>
      <c r="F16" s="14">
        <f>SUM(F5*'Time per unit'!$G$45,'Cap Planning'!F6*'Time per unit'!$G$19,'Cap Planning'!F7*'Time per unit'!$G$6,'Cap Planning'!F8*'Time per unit'!$G$32)</f>
        <v>4221.2727162925521</v>
      </c>
      <c r="H16" s="184">
        <f t="shared" si="2"/>
        <v>2000</v>
      </c>
      <c r="I16" s="193">
        <f>B16/$H$16</f>
        <v>39.300525</v>
      </c>
      <c r="J16" s="54">
        <f>C16/$H$16</f>
        <v>12.992041358146276</v>
      </c>
      <c r="K16" s="54">
        <f>D16/$H$16</f>
        <v>22.553173858146277</v>
      </c>
      <c r="L16" s="54">
        <f>E16/$H$16</f>
        <v>6.8219775</v>
      </c>
      <c r="M16" s="14">
        <f>F16/$H$16</f>
        <v>2.1106363581462761</v>
      </c>
      <c r="N16" s="14">
        <f t="shared" si="0"/>
        <v>16.755670814887768</v>
      </c>
      <c r="O16" s="194">
        <v>10</v>
      </c>
      <c r="P16" s="194">
        <f t="shared" si="1"/>
        <v>6.7556708148877682</v>
      </c>
    </row>
    <row r="17" spans="1:17" x14ac:dyDescent="0.25">
      <c r="A17" s="5">
        <v>4</v>
      </c>
      <c r="B17" s="54">
        <f>SUM(B5*'Time per unit'!$G$46,'Cap Planning'!B6*'Time per unit'!$G$20,'Cap Planning'!B7*'Time per unit'!$G$7,'Cap Planning'!B8*'Time per unit'!$G$33)</f>
        <v>45250.491568749945</v>
      </c>
      <c r="C17" s="54">
        <f>SUM(C5*'Time per unit'!$G$46,'Cap Planning'!C6*'Time per unit'!$G$20,'Cap Planning'!C7*'Time per unit'!$G$7,'Cap Planning'!C8*'Time per unit'!$G$33)</f>
        <v>47857.978137499886</v>
      </c>
      <c r="D17" s="54">
        <f>SUM(D5*'Time per unit'!$G$46,'Cap Planning'!D6*'Time per unit'!$G$20,'Cap Planning'!D7*'Time per unit'!$G$7,'Cap Planning'!D8*'Time per unit'!$G$33)</f>
        <v>17252.725000000002</v>
      </c>
      <c r="E17" s="54">
        <f>SUM(E5*'Time per unit'!$G$46,'Cap Planning'!E6*'Time per unit'!$G$20,'Cap Planning'!E7*'Time per unit'!$G$7,'Cap Planning'!E8*'Time per unit'!$G$33)</f>
        <v>36686.368137499892</v>
      </c>
      <c r="F17" s="14">
        <f>SUM(F5*'Time per unit'!$G$46,'Cap Planning'!F6*'Time per unit'!$G$20,'Cap Planning'!F7*'Time per unit'!$G$7,'Cap Planning'!F8*'Time per unit'!$G$33)</f>
        <v>0</v>
      </c>
      <c r="H17" s="184">
        <f t="shared" si="2"/>
        <v>2133.3333333333335</v>
      </c>
      <c r="I17" s="193">
        <f>B17/$H$17</f>
        <v>21.211167922851534</v>
      </c>
      <c r="J17" s="54">
        <f>C17/$H$17</f>
        <v>22.43342725195307</v>
      </c>
      <c r="K17" s="54">
        <f>D17/$H$17</f>
        <v>8.0872148437500009</v>
      </c>
      <c r="L17" s="54">
        <f>E17/$H$17</f>
        <v>17.196735064453073</v>
      </c>
      <c r="M17" s="14">
        <f>F17/$H$17</f>
        <v>0</v>
      </c>
      <c r="N17" s="14">
        <f t="shared" si="0"/>
        <v>13.785709016601539</v>
      </c>
      <c r="O17" s="194">
        <v>15</v>
      </c>
      <c r="P17" s="194">
        <f t="shared" si="1"/>
        <v>-1.2142909833984614</v>
      </c>
      <c r="Q17" s="1">
        <f>ABS(P17*H17)*2</f>
        <v>5180.9748625001021</v>
      </c>
    </row>
    <row r="18" spans="1:17" x14ac:dyDescent="0.25">
      <c r="A18" s="5">
        <v>5</v>
      </c>
      <c r="B18" s="54">
        <f>SUM(B5*'Time per unit'!$G$47,'Cap Planning'!B7*'Time per unit'!$G$21,'Cap Planning'!B6*'Time per unit'!$G$8,'Cap Planning'!B8*'Time per unit'!$G$34)</f>
        <v>85196.613801282307</v>
      </c>
      <c r="C18" s="54">
        <f>SUM(C5*'Time per unit'!$G$47,'Cap Planning'!C7*'Time per unit'!$G$21,'Cap Planning'!C6*'Time per unit'!$G$8,'Cap Planning'!C8*'Time per unit'!$G$34)</f>
        <v>56939.523877278465</v>
      </c>
      <c r="D18" s="54">
        <f>SUM(D5*'Time per unit'!$G$47,'Cap Planning'!D7*'Time per unit'!$G$21,'Cap Planning'!D6*'Time per unit'!$G$8,'Cap Planning'!D8*'Time per unit'!$G$34)</f>
        <v>39064.730684183138</v>
      </c>
      <c r="E18" s="54">
        <f>SUM(E5*'Time per unit'!$G$47,'Cap Planning'!E7*'Time per unit'!$G$21,'Cap Planning'!E6*'Time per unit'!$G$8,'Cap Planning'!E8*'Time per unit'!$G$34)</f>
        <v>45354.777518203104</v>
      </c>
      <c r="F18" s="14">
        <f>SUM(F5*'Time per unit'!$G$47,'Cap Planning'!F7*'Time per unit'!$G$21,'Cap Planning'!F6*'Time per unit'!$G$8,'Cap Planning'!F8*'Time per unit'!$G$34)</f>
        <v>3125</v>
      </c>
      <c r="H18" s="184">
        <f t="shared" si="2"/>
        <v>2066.6666666666665</v>
      </c>
      <c r="I18" s="193">
        <f>B18/$H$18</f>
        <v>41.224167968362408</v>
      </c>
      <c r="J18" s="54">
        <f>C18/$H$18</f>
        <v>27.551382521263776</v>
      </c>
      <c r="K18" s="54">
        <f>D18/$H$18</f>
        <v>18.902289040733777</v>
      </c>
      <c r="L18" s="54">
        <f>E18/$H$18</f>
        <v>21.945860089453117</v>
      </c>
      <c r="M18" s="14">
        <f>F18/$H$18</f>
        <v>1.5120967741935485</v>
      </c>
      <c r="N18" s="14">
        <f t="shared" si="0"/>
        <v>22.227159278801327</v>
      </c>
      <c r="O18" s="194">
        <v>15</v>
      </c>
      <c r="P18" s="194">
        <f t="shared" si="1"/>
        <v>7.2271592788013272</v>
      </c>
    </row>
    <row r="19" spans="1:17" x14ac:dyDescent="0.25">
      <c r="A19" s="5">
        <v>6</v>
      </c>
      <c r="B19" s="54">
        <f>SUM(B5*'Time per unit'!$G$48,'Cap Planning'!B6*'Time per unit'!$G$22,'Cap Planning'!B7*'Time per unit'!$G$9,'Cap Planning'!B8*'Time per unit'!$G$35)</f>
        <v>63697.294934895719</v>
      </c>
      <c r="C19" s="54">
        <f>SUM(C5*'Time per unit'!$G$48,'Cap Planning'!C6*'Time per unit'!$G$22,'Cap Planning'!C7*'Time per unit'!$G$9,'Cap Planning'!C8*'Time per unit'!$G$35)</f>
        <v>46024.799869791445</v>
      </c>
      <c r="D19" s="54">
        <f>SUM(D5*'Time per unit'!$G$48,'Cap Planning'!D6*'Time per unit'!$G$22,'Cap Planning'!D7*'Time per unit'!$G$9,'Cap Planning'!D8*'Time per unit'!$G$35)</f>
        <v>25241.125</v>
      </c>
      <c r="E19" s="54">
        <f>SUM(E5*'Time per unit'!$G$48,'Cap Planning'!E6*'Time per unit'!$G$22,'Cap Planning'!E7*'Time per unit'!$G$9,'Cap Planning'!E8*'Time per unit'!$G$35)</f>
        <v>39813.494869791437</v>
      </c>
      <c r="F19" s="14">
        <f>SUM(F5*'Time per unit'!$G$48,'Cap Planning'!F6*'Time per unit'!$G$22,'Cap Planning'!F7*'Time per unit'!$G$9,'Cap Planning'!F8*'Time per unit'!$G$35)</f>
        <v>0</v>
      </c>
      <c r="H19" s="184">
        <f t="shared" si="2"/>
        <v>2250</v>
      </c>
      <c r="I19" s="193">
        <f>B19/$H$19</f>
        <v>28.309908859953651</v>
      </c>
      <c r="J19" s="54">
        <f>C19/$H$19</f>
        <v>20.455466608796197</v>
      </c>
      <c r="K19" s="54">
        <f>D19/$H$19</f>
        <v>11.218277777777777</v>
      </c>
      <c r="L19" s="54">
        <f>E19/$H$19</f>
        <v>17.694886608796192</v>
      </c>
      <c r="M19" s="14">
        <f>F19/$H$19</f>
        <v>0</v>
      </c>
      <c r="N19" s="14">
        <f t="shared" si="0"/>
        <v>15.535707971064763</v>
      </c>
      <c r="O19" s="194">
        <v>20</v>
      </c>
      <c r="P19" s="194">
        <f t="shared" si="1"/>
        <v>-4.4642920289352368</v>
      </c>
      <c r="Q19" s="1">
        <f>ABS(P19*H19)*2</f>
        <v>20089.314130208564</v>
      </c>
    </row>
    <row r="20" spans="1:17" ht="15.75" thickBot="1" x14ac:dyDescent="0.3">
      <c r="A20" s="6">
        <v>7</v>
      </c>
      <c r="B20" s="56">
        <f>SUM(B5*'Time per unit'!$G$49,'Cap Planning'!B6*'Time per unit'!$G$23,'Cap Planning'!B7*'Time per unit'!$G$10,'Cap Planning'!B8*'Time per unit'!$G$36)</f>
        <v>10370.537059374758</v>
      </c>
      <c r="C20" s="56">
        <f>SUM(C5*'Time per unit'!$G$49,'Cap Planning'!C6*'Time per unit'!$G$23,'Cap Planning'!C7*'Time per unit'!$G$10,'Cap Planning'!C8*'Time per unit'!$G$36)</f>
        <v>38824.133188542881</v>
      </c>
      <c r="D20" s="56">
        <f>SUM(D5*'Time per unit'!$G$49,'Cap Planning'!D6*'Time per unit'!$G$23,'Cap Planning'!D7*'Time per unit'!$G$10,'Cap Planning'!D8*'Time per unit'!$G$36)</f>
        <v>640.90906979337001</v>
      </c>
      <c r="E20" s="56">
        <f>SUM(E5*'Time per unit'!$G$49,'Cap Planning'!E6*'Time per unit'!$G$23,'Cap Planning'!E7*'Time per unit'!$G$10,'Cap Planning'!E8*'Time per unit'!$G$36)</f>
        <v>28872.274118749512</v>
      </c>
      <c r="F20" s="248">
        <f>SUM(F5*'Time per unit'!$G$49,'Cap Planning'!F6*'Time per unit'!$G$23,'Cap Planning'!F7*'Time per unit'!$G$10,'Cap Planning'!F8*'Time per unit'!$G$36)</f>
        <v>640.90906979337001</v>
      </c>
      <c r="H20" s="182">
        <f t="shared" si="2"/>
        <v>2150</v>
      </c>
      <c r="I20" s="247">
        <f>B20/$H$20</f>
        <v>4.8235056090115149</v>
      </c>
      <c r="J20" s="56">
        <f>C20/$H$20</f>
        <v>18.057736366764132</v>
      </c>
      <c r="K20" s="56">
        <f>D20/$H$20</f>
        <v>0.29809724176435815</v>
      </c>
      <c r="L20" s="56">
        <f>E20/$H$20</f>
        <v>13.428964706395123</v>
      </c>
      <c r="M20" s="248">
        <f>F20/$H$20</f>
        <v>0.29809724176435815</v>
      </c>
      <c r="N20" s="248">
        <f t="shared" si="0"/>
        <v>7.381280233139897</v>
      </c>
      <c r="O20" s="246">
        <v>5</v>
      </c>
      <c r="P20" s="246">
        <f t="shared" si="1"/>
        <v>2.381280233139897</v>
      </c>
    </row>
    <row r="21" spans="1:17" x14ac:dyDescent="0.25">
      <c r="Q21" s="1">
        <f>SUM(Q17:Q19)</f>
        <v>25270.288992708665</v>
      </c>
    </row>
    <row r="22" spans="1:17" ht="15.75" thickBot="1" x14ac:dyDescent="0.3"/>
    <row r="23" spans="1:17" ht="75.75" thickBot="1" x14ac:dyDescent="0.3">
      <c r="A23" s="245" t="s">
        <v>166</v>
      </c>
      <c r="B23" s="245" t="s">
        <v>174</v>
      </c>
      <c r="C23" s="244" t="s">
        <v>173</v>
      </c>
      <c r="D23" s="244" t="s">
        <v>172</v>
      </c>
      <c r="E23" s="244" t="s">
        <v>171</v>
      </c>
      <c r="F23" s="244" t="s">
        <v>170</v>
      </c>
      <c r="G23" s="244" t="s">
        <v>169</v>
      </c>
      <c r="H23" s="244" t="s">
        <v>168</v>
      </c>
      <c r="I23" s="244" t="s">
        <v>202</v>
      </c>
    </row>
    <row r="24" spans="1:17" x14ac:dyDescent="0.25">
      <c r="A24" s="5">
        <v>1</v>
      </c>
      <c r="B24" s="5">
        <v>10</v>
      </c>
      <c r="C24" s="5">
        <v>2400</v>
      </c>
      <c r="D24" s="5">
        <v>240</v>
      </c>
      <c r="E24" s="5">
        <v>25</v>
      </c>
      <c r="F24" s="5">
        <f t="shared" ref="F24:F30" si="3">(B24*C24)/D24</f>
        <v>100</v>
      </c>
      <c r="G24" s="5">
        <f t="shared" ref="G24:G30" si="4">F24*E24</f>
        <v>2500</v>
      </c>
      <c r="H24" s="5">
        <f t="shared" ref="H24:H30" si="5">(C24*B24)-G24</f>
        <v>21500</v>
      </c>
      <c r="I24" s="31">
        <f>H24/B24</f>
        <v>2150</v>
      </c>
    </row>
    <row r="25" spans="1:17" x14ac:dyDescent="0.25">
      <c r="A25" s="5">
        <v>2</v>
      </c>
      <c r="B25" s="5">
        <v>20</v>
      </c>
      <c r="C25" s="5">
        <v>2400</v>
      </c>
      <c r="D25" s="5">
        <v>240</v>
      </c>
      <c r="E25" s="5">
        <v>25</v>
      </c>
      <c r="F25" s="5">
        <f t="shared" si="3"/>
        <v>200</v>
      </c>
      <c r="G25" s="5">
        <f t="shared" si="4"/>
        <v>5000</v>
      </c>
      <c r="H25" s="5">
        <f t="shared" si="5"/>
        <v>43000</v>
      </c>
      <c r="I25" s="5">
        <f t="shared" ref="I25:I30" si="6">H25/B25</f>
        <v>2150</v>
      </c>
    </row>
    <row r="26" spans="1:17" x14ac:dyDescent="0.25">
      <c r="A26" s="5">
        <v>3</v>
      </c>
      <c r="B26" s="5">
        <v>10</v>
      </c>
      <c r="C26" s="5">
        <v>2400</v>
      </c>
      <c r="D26" s="5">
        <v>180</v>
      </c>
      <c r="E26" s="5">
        <v>30</v>
      </c>
      <c r="F26" s="5">
        <f t="shared" si="3"/>
        <v>133.33333333333334</v>
      </c>
      <c r="G26" s="5">
        <f t="shared" si="4"/>
        <v>4000.0000000000005</v>
      </c>
      <c r="H26" s="5">
        <f t="shared" si="5"/>
        <v>20000</v>
      </c>
      <c r="I26" s="5">
        <f t="shared" si="6"/>
        <v>2000</v>
      </c>
    </row>
    <row r="27" spans="1:17" x14ac:dyDescent="0.25">
      <c r="A27" s="5">
        <v>4</v>
      </c>
      <c r="B27" s="5">
        <v>15</v>
      </c>
      <c r="C27" s="5">
        <v>2400</v>
      </c>
      <c r="D27" s="5">
        <v>180</v>
      </c>
      <c r="E27" s="5">
        <v>20</v>
      </c>
      <c r="F27" s="5">
        <f t="shared" si="3"/>
        <v>200</v>
      </c>
      <c r="G27" s="5">
        <f t="shared" si="4"/>
        <v>4000</v>
      </c>
      <c r="H27" s="5">
        <f t="shared" si="5"/>
        <v>32000</v>
      </c>
      <c r="I27" s="5">
        <f t="shared" si="6"/>
        <v>2133.3333333333335</v>
      </c>
    </row>
    <row r="28" spans="1:17" x14ac:dyDescent="0.25">
      <c r="A28" s="5">
        <v>5</v>
      </c>
      <c r="B28" s="5">
        <v>15</v>
      </c>
      <c r="C28" s="5">
        <v>2400</v>
      </c>
      <c r="D28" s="5">
        <v>180</v>
      </c>
      <c r="E28" s="5">
        <v>25</v>
      </c>
      <c r="F28" s="5">
        <f t="shared" si="3"/>
        <v>200</v>
      </c>
      <c r="G28" s="5">
        <f t="shared" si="4"/>
        <v>5000</v>
      </c>
      <c r="H28" s="5">
        <f t="shared" si="5"/>
        <v>31000</v>
      </c>
      <c r="I28" s="5">
        <f t="shared" si="6"/>
        <v>2066.6666666666665</v>
      </c>
    </row>
    <row r="29" spans="1:17" x14ac:dyDescent="0.25">
      <c r="A29" s="5">
        <v>6</v>
      </c>
      <c r="B29" s="5">
        <v>20</v>
      </c>
      <c r="C29" s="5">
        <v>2400</v>
      </c>
      <c r="D29" s="5">
        <v>240</v>
      </c>
      <c r="E29" s="5">
        <v>15</v>
      </c>
      <c r="F29" s="5">
        <f t="shared" si="3"/>
        <v>200</v>
      </c>
      <c r="G29" s="5">
        <f t="shared" si="4"/>
        <v>3000</v>
      </c>
      <c r="H29" s="5">
        <f t="shared" si="5"/>
        <v>45000</v>
      </c>
      <c r="I29" s="5">
        <f t="shared" si="6"/>
        <v>2250</v>
      </c>
    </row>
    <row r="30" spans="1:17" ht="15.75" thickBot="1" x14ac:dyDescent="0.3">
      <c r="A30" s="6">
        <v>7</v>
      </c>
      <c r="B30" s="6">
        <v>5</v>
      </c>
      <c r="C30" s="6">
        <v>2400</v>
      </c>
      <c r="D30" s="6">
        <v>240</v>
      </c>
      <c r="E30" s="6">
        <v>25</v>
      </c>
      <c r="F30" s="6">
        <f t="shared" si="3"/>
        <v>50</v>
      </c>
      <c r="G30" s="6">
        <f t="shared" si="4"/>
        <v>1250</v>
      </c>
      <c r="H30" s="6">
        <f t="shared" si="5"/>
        <v>10750</v>
      </c>
      <c r="I30" s="6">
        <f t="shared" si="6"/>
        <v>2150</v>
      </c>
    </row>
  </sheetData>
  <mergeCells count="4">
    <mergeCell ref="A3:H3"/>
    <mergeCell ref="J3:M3"/>
    <mergeCell ref="H12:P12"/>
    <mergeCell ref="A12:F12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6F1AC-E2D0-4F5C-A9EF-BCF5FB83DA52}">
  <dimension ref="B1:N50"/>
  <sheetViews>
    <sheetView zoomScale="85" zoomScaleNormal="85" workbookViewId="0">
      <selection activeCell="N4" sqref="N4"/>
    </sheetView>
  </sheetViews>
  <sheetFormatPr defaultRowHeight="15" x14ac:dyDescent="0.25"/>
  <cols>
    <col min="1" max="1" width="9.140625" style="1"/>
    <col min="2" max="2" width="20.85546875" style="1" bestFit="1" customWidth="1"/>
    <col min="3" max="3" width="9.140625" style="1"/>
    <col min="4" max="4" width="21.140625" style="1" bestFit="1" customWidth="1"/>
    <col min="5" max="7" width="19.7109375" style="1" customWidth="1"/>
    <col min="8" max="16384" width="9.140625" style="1"/>
  </cols>
  <sheetData>
    <row r="1" spans="2:14" ht="15.75" thickBot="1" x14ac:dyDescent="0.3"/>
    <row r="2" spans="2:14" ht="15.75" thickBot="1" x14ac:dyDescent="0.3">
      <c r="B2" s="275" t="s">
        <v>152</v>
      </c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7"/>
    </row>
    <row r="3" spans="2:14" ht="30" thickBot="1" x14ac:dyDescent="0.3">
      <c r="B3" s="232" t="s">
        <v>166</v>
      </c>
      <c r="C3" s="231"/>
      <c r="D3" s="230" t="s">
        <v>165</v>
      </c>
      <c r="E3" s="230" t="s">
        <v>164</v>
      </c>
      <c r="F3" s="230" t="s">
        <v>163</v>
      </c>
      <c r="G3" s="240" t="s">
        <v>162</v>
      </c>
      <c r="H3" s="232" t="s">
        <v>146</v>
      </c>
      <c r="I3" s="239">
        <v>21</v>
      </c>
      <c r="J3" s="238">
        <v>22</v>
      </c>
      <c r="K3" s="238">
        <v>23</v>
      </c>
      <c r="L3" s="238">
        <v>24</v>
      </c>
      <c r="M3" s="237">
        <v>25</v>
      </c>
    </row>
    <row r="4" spans="2:14" x14ac:dyDescent="0.25">
      <c r="B4" s="228">
        <v>1</v>
      </c>
      <c r="C4" s="235"/>
      <c r="D4" s="227">
        <v>13</v>
      </c>
      <c r="E4" s="227">
        <v>80</v>
      </c>
      <c r="F4" s="226">
        <f t="shared" ref="F4:F10" si="0">AVERAGE(J4,L4)</f>
        <v>0.13090902333878401</v>
      </c>
      <c r="G4" s="242">
        <f t="shared" ref="G4:G10" si="1">D4+F4</f>
        <v>13.130909023338784</v>
      </c>
      <c r="H4" s="278" t="s">
        <v>167</v>
      </c>
      <c r="I4" s="236" t="e">
        <f>$E$4/MRP!D10</f>
        <v>#DIV/0!</v>
      </c>
      <c r="J4" s="235">
        <f>$E$4/MRP!E10</f>
        <v>8.3246618106139439E-2</v>
      </c>
      <c r="K4" s="235" t="e">
        <f>$E$4/MRP!F10</f>
        <v>#DIV/0!</v>
      </c>
      <c r="L4" s="235">
        <f>$E$4/MRP!G10</f>
        <v>0.17857142857142858</v>
      </c>
      <c r="M4" s="234" t="e">
        <f>$E$4/MRP!H10</f>
        <v>#DIV/0!</v>
      </c>
      <c r="N4" s="28"/>
    </row>
    <row r="5" spans="2:14" x14ac:dyDescent="0.25">
      <c r="B5" s="228">
        <v>2</v>
      </c>
      <c r="C5" s="235"/>
      <c r="D5" s="227">
        <v>18</v>
      </c>
      <c r="E5" s="227">
        <v>160</v>
      </c>
      <c r="F5" s="226">
        <f t="shared" si="0"/>
        <v>0.26181804667756803</v>
      </c>
      <c r="G5" s="242">
        <f t="shared" si="1"/>
        <v>18.261818046677568</v>
      </c>
      <c r="H5" s="274"/>
      <c r="I5" s="236" t="e">
        <f>$E$5/MRP!D10</f>
        <v>#DIV/0!</v>
      </c>
      <c r="J5" s="235">
        <f>$E$5/MRP!E10</f>
        <v>0.16649323621227888</v>
      </c>
      <c r="K5" s="235" t="e">
        <f>$E$5/MRP!F10</f>
        <v>#DIV/0!</v>
      </c>
      <c r="L5" s="235">
        <f>$E$5/MRP!G10</f>
        <v>0.35714285714285715</v>
      </c>
      <c r="M5" s="234" t="e">
        <f>$E$5/MRP!H10</f>
        <v>#DIV/0!</v>
      </c>
    </row>
    <row r="6" spans="2:14" x14ac:dyDescent="0.25">
      <c r="B6" s="228">
        <v>3</v>
      </c>
      <c r="C6" s="235"/>
      <c r="D6" s="227">
        <v>21</v>
      </c>
      <c r="E6" s="227">
        <v>65</v>
      </c>
      <c r="F6" s="226">
        <f t="shared" si="0"/>
        <v>0.10636358146276201</v>
      </c>
      <c r="G6" s="242">
        <f t="shared" si="1"/>
        <v>21.106363581462762</v>
      </c>
      <c r="H6" s="274"/>
      <c r="I6" s="236" t="e">
        <f>$E$6/MRP!D10</f>
        <v>#DIV/0!</v>
      </c>
      <c r="J6" s="235">
        <f>$E$6/MRP!E10</f>
        <v>6.763787721123829E-2</v>
      </c>
      <c r="K6" s="235" t="e">
        <f>$E$6/MRP!F10</f>
        <v>#DIV/0!</v>
      </c>
      <c r="L6" s="235">
        <f>$E$6/MRP!G10</f>
        <v>0.14508928571428573</v>
      </c>
      <c r="M6" s="234" t="e">
        <f>$E$6/MRP!H10</f>
        <v>#DIV/0!</v>
      </c>
    </row>
    <row r="7" spans="2:14" x14ac:dyDescent="0.25">
      <c r="B7" s="228">
        <v>4</v>
      </c>
      <c r="C7" s="235"/>
      <c r="D7" s="227">
        <v>0</v>
      </c>
      <c r="E7" s="227">
        <v>0</v>
      </c>
      <c r="F7" s="226">
        <f t="shared" si="0"/>
        <v>0</v>
      </c>
      <c r="G7" s="242">
        <f t="shared" si="1"/>
        <v>0</v>
      </c>
      <c r="H7" s="274"/>
      <c r="I7" s="236" t="e">
        <f>$E$7/MRP!D10</f>
        <v>#DIV/0!</v>
      </c>
      <c r="J7" s="235">
        <f>$E$7/MRP!E10</f>
        <v>0</v>
      </c>
      <c r="K7" s="235" t="e">
        <f>$E$7/MRP!F10</f>
        <v>#DIV/0!</v>
      </c>
      <c r="L7" s="235">
        <f>$E$7/MRP!G10</f>
        <v>0</v>
      </c>
      <c r="M7" s="234" t="e">
        <f>$E$7/MRP!H10</f>
        <v>#DIV/0!</v>
      </c>
    </row>
    <row r="8" spans="2:14" x14ac:dyDescent="0.25">
      <c r="B8" s="228">
        <v>5</v>
      </c>
      <c r="C8" s="235"/>
      <c r="D8" s="227">
        <v>16</v>
      </c>
      <c r="E8" s="227">
        <v>120</v>
      </c>
      <c r="F8" s="226">
        <f t="shared" si="0"/>
        <v>0.19636353500817599</v>
      </c>
      <c r="G8" s="242">
        <f t="shared" si="1"/>
        <v>16.196363535008174</v>
      </c>
      <c r="H8" s="274"/>
      <c r="I8" s="236" t="e">
        <f>$E$8/MRP!D10</f>
        <v>#DIV/0!</v>
      </c>
      <c r="J8" s="235">
        <f>$E$8/MRP!E10</f>
        <v>0.12486992715920915</v>
      </c>
      <c r="K8" s="235" t="e">
        <f>$E$8/MRP!F10</f>
        <v>#DIV/0!</v>
      </c>
      <c r="L8" s="235">
        <f>$E$8/MRP!G10</f>
        <v>0.26785714285714285</v>
      </c>
      <c r="M8" s="234" t="e">
        <f>$E$8/MRP!H10</f>
        <v>#DIV/0!</v>
      </c>
    </row>
    <row r="9" spans="2:14" x14ac:dyDescent="0.25">
      <c r="B9" s="228">
        <v>6</v>
      </c>
      <c r="C9" s="235"/>
      <c r="D9" s="227">
        <v>0</v>
      </c>
      <c r="E9" s="227">
        <v>0</v>
      </c>
      <c r="F9" s="226">
        <f t="shared" si="0"/>
        <v>0</v>
      </c>
      <c r="G9" s="242">
        <f t="shared" si="1"/>
        <v>0</v>
      </c>
      <c r="H9" s="274"/>
      <c r="I9" s="236" t="e">
        <f>$E$9/MRP!D10</f>
        <v>#DIV/0!</v>
      </c>
      <c r="J9" s="235">
        <f>$E$9/MRP!E10</f>
        <v>0</v>
      </c>
      <c r="K9" s="235" t="e">
        <f>$E$9/MRP!F10</f>
        <v>#DIV/0!</v>
      </c>
      <c r="L9" s="235">
        <f>$E$9/MRP!G10</f>
        <v>0</v>
      </c>
      <c r="M9" s="234" t="e">
        <f>$E$9/MRP!H10</f>
        <v>#DIV/0!</v>
      </c>
    </row>
    <row r="10" spans="2:14" x14ac:dyDescent="0.25">
      <c r="B10" s="228">
        <v>7</v>
      </c>
      <c r="C10" s="235"/>
      <c r="D10" s="227">
        <v>3</v>
      </c>
      <c r="E10" s="227">
        <v>125</v>
      </c>
      <c r="F10" s="226">
        <f t="shared" si="0"/>
        <v>0.20454534896685</v>
      </c>
      <c r="G10" s="242">
        <f t="shared" si="1"/>
        <v>3.2045453489668501</v>
      </c>
      <c r="H10" s="274"/>
      <c r="I10" s="236" t="e">
        <f>$E$10/MRP!D10</f>
        <v>#DIV/0!</v>
      </c>
      <c r="J10" s="235">
        <f>$E$10/MRP!E10</f>
        <v>0.13007284079084286</v>
      </c>
      <c r="K10" s="235" t="e">
        <f>$E$10/MRP!F10</f>
        <v>#DIV/0!</v>
      </c>
      <c r="L10" s="235">
        <f>$E$10/MRP!G10</f>
        <v>0.27901785714285715</v>
      </c>
      <c r="M10" s="234" t="e">
        <f>$E$10/MRP!H10</f>
        <v>#DIV/0!</v>
      </c>
    </row>
    <row r="11" spans="2:14" ht="15.75" thickBot="1" x14ac:dyDescent="0.3">
      <c r="B11" s="225" t="s">
        <v>95</v>
      </c>
      <c r="C11" s="243"/>
      <c r="D11" s="224"/>
      <c r="E11" s="224"/>
      <c r="F11" s="223"/>
      <c r="G11" s="241"/>
      <c r="H11" s="225"/>
      <c r="I11" s="225"/>
      <c r="J11" s="224"/>
      <c r="K11" s="224"/>
      <c r="L11" s="224"/>
      <c r="M11" s="233"/>
    </row>
    <row r="14" spans="2:14" ht="15.75" thickBot="1" x14ac:dyDescent="0.3"/>
    <row r="15" spans="2:14" ht="15.75" thickBot="1" x14ac:dyDescent="0.3">
      <c r="B15" s="275" t="s">
        <v>153</v>
      </c>
      <c r="C15" s="276"/>
      <c r="D15" s="276"/>
      <c r="E15" s="276"/>
      <c r="F15" s="276"/>
      <c r="G15" s="276"/>
      <c r="H15" s="276"/>
    </row>
    <row r="16" spans="2:14" ht="30" thickBot="1" x14ac:dyDescent="0.3">
      <c r="B16" s="232" t="s">
        <v>166</v>
      </c>
      <c r="C16" s="231"/>
      <c r="D16" s="230" t="s">
        <v>165</v>
      </c>
      <c r="E16" s="230" t="s">
        <v>164</v>
      </c>
      <c r="F16" s="230" t="s">
        <v>163</v>
      </c>
      <c r="G16" s="240" t="s">
        <v>162</v>
      </c>
      <c r="H16" s="229" t="s">
        <v>146</v>
      </c>
    </row>
    <row r="17" spans="2:13" x14ac:dyDescent="0.25">
      <c r="B17" s="228">
        <v>1</v>
      </c>
      <c r="C17" s="227"/>
      <c r="D17" s="227">
        <v>19</v>
      </c>
      <c r="E17" s="227">
        <v>190</v>
      </c>
      <c r="F17" s="226">
        <f t="shared" ref="F17:F23" si="2">E17/$H$17</f>
        <v>0.95</v>
      </c>
      <c r="G17" s="242">
        <f t="shared" ref="G17:G23" si="3">D17+F17</f>
        <v>19.95</v>
      </c>
      <c r="H17" s="278">
        <v>200</v>
      </c>
    </row>
    <row r="18" spans="2:13" x14ac:dyDescent="0.25">
      <c r="B18" s="228">
        <v>2</v>
      </c>
      <c r="C18" s="227"/>
      <c r="D18" s="227">
        <v>22</v>
      </c>
      <c r="E18" s="227">
        <v>215</v>
      </c>
      <c r="F18" s="226">
        <f t="shared" si="2"/>
        <v>1.075</v>
      </c>
      <c r="G18" s="242">
        <f t="shared" si="3"/>
        <v>23.074999999999999</v>
      </c>
      <c r="H18" s="274"/>
    </row>
    <row r="19" spans="2:13" x14ac:dyDescent="0.25">
      <c r="B19" s="228">
        <v>3</v>
      </c>
      <c r="C19" s="227"/>
      <c r="D19" s="227">
        <v>18</v>
      </c>
      <c r="E19" s="227">
        <v>85</v>
      </c>
      <c r="F19" s="226">
        <f t="shared" si="2"/>
        <v>0.42499999999999999</v>
      </c>
      <c r="G19" s="242">
        <f t="shared" si="3"/>
        <v>18.425000000000001</v>
      </c>
      <c r="H19" s="274"/>
    </row>
    <row r="20" spans="2:13" x14ac:dyDescent="0.25">
      <c r="B20" s="228">
        <v>4</v>
      </c>
      <c r="C20" s="227"/>
      <c r="D20" s="227">
        <v>7</v>
      </c>
      <c r="E20" s="227">
        <v>155</v>
      </c>
      <c r="F20" s="226">
        <f t="shared" si="2"/>
        <v>0.77500000000000002</v>
      </c>
      <c r="G20" s="242">
        <f t="shared" si="3"/>
        <v>7.7750000000000004</v>
      </c>
      <c r="H20" s="274"/>
    </row>
    <row r="21" spans="2:13" x14ac:dyDescent="0.25">
      <c r="B21" s="228">
        <v>5</v>
      </c>
      <c r="C21" s="227"/>
      <c r="D21" s="227">
        <v>15</v>
      </c>
      <c r="E21" s="227">
        <v>125</v>
      </c>
      <c r="F21" s="226">
        <f t="shared" si="2"/>
        <v>0.625</v>
      </c>
      <c r="G21" s="242">
        <f t="shared" si="3"/>
        <v>15.625</v>
      </c>
      <c r="H21" s="274"/>
    </row>
    <row r="22" spans="2:13" x14ac:dyDescent="0.25">
      <c r="B22" s="228">
        <v>6</v>
      </c>
      <c r="C22" s="227"/>
      <c r="D22" s="227">
        <v>11</v>
      </c>
      <c r="E22" s="227">
        <v>75</v>
      </c>
      <c r="F22" s="226">
        <f t="shared" si="2"/>
        <v>0.375</v>
      </c>
      <c r="G22" s="242">
        <f t="shared" si="3"/>
        <v>11.375</v>
      </c>
      <c r="H22" s="274"/>
    </row>
    <row r="23" spans="2:13" x14ac:dyDescent="0.25">
      <c r="B23" s="228">
        <v>7</v>
      </c>
      <c r="C23" s="227"/>
      <c r="D23" s="227">
        <v>0</v>
      </c>
      <c r="E23" s="227">
        <v>0</v>
      </c>
      <c r="F23" s="226">
        <f t="shared" si="2"/>
        <v>0</v>
      </c>
      <c r="G23" s="242">
        <f t="shared" si="3"/>
        <v>0</v>
      </c>
      <c r="H23" s="274"/>
    </row>
    <row r="24" spans="2:13" ht="15.75" thickBot="1" x14ac:dyDescent="0.3">
      <c r="B24" s="225" t="s">
        <v>95</v>
      </c>
      <c r="C24" s="224"/>
      <c r="D24" s="224"/>
      <c r="E24" s="224"/>
      <c r="F24" s="223"/>
      <c r="G24" s="241"/>
      <c r="H24" s="222"/>
    </row>
    <row r="27" spans="2:13" ht="15.75" thickBot="1" x14ac:dyDescent="0.3"/>
    <row r="28" spans="2:13" ht="15.75" thickBot="1" x14ac:dyDescent="0.3">
      <c r="B28" s="275" t="s">
        <v>150</v>
      </c>
      <c r="C28" s="276"/>
      <c r="D28" s="276"/>
      <c r="E28" s="276"/>
      <c r="F28" s="276"/>
      <c r="G28" s="276"/>
      <c r="H28" s="277"/>
      <c r="I28" s="275"/>
      <c r="J28" s="276"/>
      <c r="K28" s="276"/>
      <c r="L28" s="276"/>
      <c r="M28" s="277"/>
    </row>
    <row r="29" spans="2:13" ht="30" thickBot="1" x14ac:dyDescent="0.3">
      <c r="B29" s="232" t="s">
        <v>166</v>
      </c>
      <c r="C29" s="231"/>
      <c r="D29" s="230" t="s">
        <v>165</v>
      </c>
      <c r="E29" s="230" t="s">
        <v>164</v>
      </c>
      <c r="F29" s="230" t="s">
        <v>163</v>
      </c>
      <c r="G29" s="240" t="s">
        <v>162</v>
      </c>
      <c r="H29" s="229" t="s">
        <v>146</v>
      </c>
      <c r="I29" s="239">
        <v>21</v>
      </c>
      <c r="J29" s="238">
        <v>22</v>
      </c>
      <c r="K29" s="238">
        <v>23</v>
      </c>
      <c r="L29" s="238">
        <v>24</v>
      </c>
      <c r="M29" s="237">
        <v>25</v>
      </c>
    </row>
    <row r="30" spans="2:13" x14ac:dyDescent="0.25">
      <c r="B30" s="228">
        <v>1</v>
      </c>
      <c r="C30" s="227"/>
      <c r="D30" s="227">
        <v>0</v>
      </c>
      <c r="E30" s="227">
        <v>0</v>
      </c>
      <c r="F30" s="226">
        <f t="shared" ref="F30:F36" si="4">AVERAGE(I30:L30)</f>
        <v>0</v>
      </c>
      <c r="G30" s="226">
        <f t="shared" ref="G30:G36" si="5">D30+F30</f>
        <v>0</v>
      </c>
      <c r="H30" s="278" t="s">
        <v>149</v>
      </c>
      <c r="I30" s="236">
        <f>E30/MRP!$D$32</f>
        <v>0</v>
      </c>
      <c r="J30" s="235">
        <f>E30/MRP!$E$32</f>
        <v>0</v>
      </c>
      <c r="K30" s="235">
        <f>E30/MRP!$F$32</f>
        <v>0</v>
      </c>
      <c r="L30" s="235">
        <f>E30/MRP!$G$32</f>
        <v>0</v>
      </c>
      <c r="M30" s="234" t="e">
        <f>E30/MRP!$H$32</f>
        <v>#DIV/0!</v>
      </c>
    </row>
    <row r="31" spans="2:13" x14ac:dyDescent="0.25">
      <c r="B31" s="228">
        <v>2</v>
      </c>
      <c r="C31" s="227"/>
      <c r="D31" s="227">
        <v>8</v>
      </c>
      <c r="E31" s="227">
        <v>130</v>
      </c>
      <c r="F31" s="226">
        <f t="shared" si="4"/>
        <v>0.17840673229155041</v>
      </c>
      <c r="G31" s="226">
        <f t="shared" si="5"/>
        <v>8.1784067322915508</v>
      </c>
      <c r="H31" s="274"/>
      <c r="I31" s="236">
        <f>E31/MRP!$D$32</f>
        <v>3.0473511486169714E-2</v>
      </c>
      <c r="J31" s="235">
        <f>E31/MRP!$E$32</f>
        <v>0.29545454545454547</v>
      </c>
      <c r="K31" s="235">
        <f>E31/MRP!$F$32</f>
        <v>5.8584948174853539E-2</v>
      </c>
      <c r="L31" s="235">
        <f>E31/MRP!$G$32</f>
        <v>0.32911392405063289</v>
      </c>
      <c r="M31" s="234" t="e">
        <f>E31/MRP!$H$32</f>
        <v>#DIV/0!</v>
      </c>
    </row>
    <row r="32" spans="2:13" x14ac:dyDescent="0.25">
      <c r="B32" s="228">
        <v>3</v>
      </c>
      <c r="C32" s="227"/>
      <c r="D32" s="227">
        <v>0</v>
      </c>
      <c r="E32" s="227">
        <v>0</v>
      </c>
      <c r="F32" s="226">
        <f t="shared" si="4"/>
        <v>0</v>
      </c>
      <c r="G32" s="226">
        <f t="shared" si="5"/>
        <v>0</v>
      </c>
      <c r="H32" s="274"/>
      <c r="I32" s="236">
        <f>E32/MRP!$D$32</f>
        <v>0</v>
      </c>
      <c r="J32" s="235">
        <f>E32/MRP!$E$32</f>
        <v>0</v>
      </c>
      <c r="K32" s="235">
        <f>E32/MRP!$F$32</f>
        <v>0</v>
      </c>
      <c r="L32" s="235">
        <f>E32/MRP!$G$32</f>
        <v>0</v>
      </c>
      <c r="M32" s="234" t="e">
        <f>E32/MRP!$H$32</f>
        <v>#DIV/0!</v>
      </c>
    </row>
    <row r="33" spans="2:13" x14ac:dyDescent="0.25">
      <c r="B33" s="228">
        <v>4</v>
      </c>
      <c r="C33" s="227"/>
      <c r="D33" s="227">
        <v>12</v>
      </c>
      <c r="E33" s="227">
        <v>60</v>
      </c>
      <c r="F33" s="226">
        <f t="shared" si="4"/>
        <v>8.2341568749946345E-2</v>
      </c>
      <c r="G33" s="226">
        <f t="shared" si="5"/>
        <v>12.082341568749946</v>
      </c>
      <c r="H33" s="274"/>
      <c r="I33" s="236">
        <f>E33/MRP!$D$32</f>
        <v>1.4064697609001406E-2</v>
      </c>
      <c r="J33" s="235">
        <f>E33/MRP!$E$32</f>
        <v>0.13636363636363635</v>
      </c>
      <c r="K33" s="235">
        <f>E33/MRP!$F$32</f>
        <v>2.7039206849932402E-2</v>
      </c>
      <c r="L33" s="235">
        <f>E33/MRP!$G$32</f>
        <v>0.15189873417721519</v>
      </c>
      <c r="M33" s="234" t="e">
        <f>E33/MRP!$H$32</f>
        <v>#DIV/0!</v>
      </c>
    </row>
    <row r="34" spans="2:13" x14ac:dyDescent="0.25">
      <c r="B34" s="228">
        <v>5</v>
      </c>
      <c r="C34" s="227"/>
      <c r="D34" s="227">
        <v>16</v>
      </c>
      <c r="E34" s="227">
        <v>75</v>
      </c>
      <c r="F34" s="226">
        <f t="shared" si="4"/>
        <v>0.10292696093743292</v>
      </c>
      <c r="G34" s="226">
        <f t="shared" si="5"/>
        <v>16.102926960937435</v>
      </c>
      <c r="H34" s="274"/>
      <c r="I34" s="236">
        <f>E34/MRP!$D$32</f>
        <v>1.7580872011251757E-2</v>
      </c>
      <c r="J34" s="235">
        <f>E34/MRP!$E$32</f>
        <v>0.17045454545454544</v>
      </c>
      <c r="K34" s="235">
        <f>E34/MRP!$F$32</f>
        <v>3.3799008562415501E-2</v>
      </c>
      <c r="L34" s="235">
        <f>E34/MRP!$G$32</f>
        <v>0.189873417721519</v>
      </c>
      <c r="M34" s="234" t="e">
        <f>E34/MRP!$H$32</f>
        <v>#DIV/0!</v>
      </c>
    </row>
    <row r="35" spans="2:13" x14ac:dyDescent="0.25">
      <c r="B35" s="228">
        <v>6</v>
      </c>
      <c r="C35" s="227"/>
      <c r="D35" s="227">
        <v>15</v>
      </c>
      <c r="E35" s="227">
        <v>125</v>
      </c>
      <c r="F35" s="226">
        <f t="shared" si="4"/>
        <v>0.17154493489572156</v>
      </c>
      <c r="G35" s="226">
        <f t="shared" si="5"/>
        <v>15.171544934895721</v>
      </c>
      <c r="H35" s="274"/>
      <c r="I35" s="236">
        <f>E35/MRP!$D$32</f>
        <v>2.9301453352086265E-2</v>
      </c>
      <c r="J35" s="235">
        <f>E35/MRP!$E$32</f>
        <v>0.28409090909090912</v>
      </c>
      <c r="K35" s="235">
        <f>E35/MRP!$F$32</f>
        <v>5.6331680937359171E-2</v>
      </c>
      <c r="L35" s="235">
        <f>E35/MRP!$G$32</f>
        <v>0.31645569620253167</v>
      </c>
      <c r="M35" s="234" t="e">
        <f>E35/MRP!$H$32</f>
        <v>#DIV/0!</v>
      </c>
    </row>
    <row r="36" spans="2:13" x14ac:dyDescent="0.25">
      <c r="B36" s="228">
        <v>7</v>
      </c>
      <c r="C36" s="227"/>
      <c r="D36" s="227">
        <v>10</v>
      </c>
      <c r="E36" s="227">
        <v>270</v>
      </c>
      <c r="F36" s="226">
        <f t="shared" si="4"/>
        <v>0.37053705937475856</v>
      </c>
      <c r="G36" s="226">
        <f t="shared" si="5"/>
        <v>10.370537059374758</v>
      </c>
      <c r="H36" s="274"/>
      <c r="I36" s="236">
        <f>E36/MRP!$D$32</f>
        <v>6.3291139240506333E-2</v>
      </c>
      <c r="J36" s="235">
        <f>E36/MRP!$E$32</f>
        <v>0.61363636363636365</v>
      </c>
      <c r="K36" s="235">
        <f>E36/MRP!$F$32</f>
        <v>0.12167643082469581</v>
      </c>
      <c r="L36" s="235">
        <f>E36/MRP!$G$32</f>
        <v>0.68354430379746833</v>
      </c>
      <c r="M36" s="234" t="e">
        <f>E36/MRP!$H$32</f>
        <v>#DIV/0!</v>
      </c>
    </row>
    <row r="37" spans="2:13" ht="15.75" thickBot="1" x14ac:dyDescent="0.3">
      <c r="B37" s="225" t="s">
        <v>95</v>
      </c>
      <c r="C37" s="224"/>
      <c r="D37" s="224"/>
      <c r="E37" s="224"/>
      <c r="F37" s="223"/>
      <c r="G37" s="223"/>
      <c r="H37" s="222"/>
      <c r="I37" s="225"/>
      <c r="J37" s="224"/>
      <c r="K37" s="224"/>
      <c r="L37" s="224"/>
      <c r="M37" s="233"/>
    </row>
    <row r="40" spans="2:13" ht="15.75" thickBot="1" x14ac:dyDescent="0.3"/>
    <row r="41" spans="2:13" ht="15.75" thickBot="1" x14ac:dyDescent="0.3">
      <c r="B41" s="275" t="s">
        <v>154</v>
      </c>
      <c r="C41" s="276"/>
      <c r="D41" s="276"/>
      <c r="E41" s="276"/>
      <c r="F41" s="276"/>
      <c r="G41" s="276"/>
      <c r="H41" s="277"/>
    </row>
    <row r="42" spans="2:13" ht="30" thickBot="1" x14ac:dyDescent="0.3">
      <c r="B42" s="232" t="s">
        <v>166</v>
      </c>
      <c r="C42" s="231"/>
      <c r="D42" s="230" t="s">
        <v>165</v>
      </c>
      <c r="E42" s="230" t="s">
        <v>164</v>
      </c>
      <c r="F42" s="230" t="s">
        <v>163</v>
      </c>
      <c r="G42" s="230" t="s">
        <v>162</v>
      </c>
      <c r="H42" s="229" t="s">
        <v>146</v>
      </c>
    </row>
    <row r="43" spans="2:13" x14ac:dyDescent="0.25">
      <c r="B43" s="228">
        <v>1</v>
      </c>
      <c r="C43" s="227"/>
      <c r="D43" s="227">
        <v>20</v>
      </c>
      <c r="E43" s="227">
        <v>200</v>
      </c>
      <c r="F43" s="226">
        <f t="shared" ref="F43:F49" si="6">E43/$H$43</f>
        <v>0.2</v>
      </c>
      <c r="G43" s="226">
        <f t="shared" ref="G43:G49" si="7">D43+F43</f>
        <v>20.2</v>
      </c>
      <c r="H43" s="274">
        <v>1000</v>
      </c>
    </row>
    <row r="44" spans="2:13" x14ac:dyDescent="0.25">
      <c r="B44" s="228">
        <v>2</v>
      </c>
      <c r="C44" s="227"/>
      <c r="D44" s="227">
        <v>9</v>
      </c>
      <c r="E44" s="227">
        <v>130</v>
      </c>
      <c r="F44" s="226">
        <f t="shared" si="6"/>
        <v>0.13</v>
      </c>
      <c r="G44" s="226">
        <f t="shared" si="7"/>
        <v>9.1300000000000008</v>
      </c>
      <c r="H44" s="274"/>
    </row>
    <row r="45" spans="2:13" x14ac:dyDescent="0.25">
      <c r="B45" s="228">
        <v>3</v>
      </c>
      <c r="C45" s="227"/>
      <c r="D45" s="227">
        <v>14</v>
      </c>
      <c r="E45" s="227">
        <v>210</v>
      </c>
      <c r="F45" s="226">
        <f t="shared" si="6"/>
        <v>0.21</v>
      </c>
      <c r="G45" s="226">
        <f t="shared" si="7"/>
        <v>14.21</v>
      </c>
      <c r="H45" s="274"/>
    </row>
    <row r="46" spans="2:13" x14ac:dyDescent="0.25">
      <c r="B46" s="228">
        <v>4</v>
      </c>
      <c r="C46" s="227"/>
      <c r="D46" s="227">
        <v>21</v>
      </c>
      <c r="E46" s="227">
        <v>95</v>
      </c>
      <c r="F46" s="226">
        <f t="shared" si="6"/>
        <v>9.5000000000000001E-2</v>
      </c>
      <c r="G46" s="226">
        <f t="shared" si="7"/>
        <v>21.094999999999999</v>
      </c>
      <c r="H46" s="274"/>
    </row>
    <row r="47" spans="2:13" x14ac:dyDescent="0.25">
      <c r="B47" s="228">
        <v>5</v>
      </c>
      <c r="C47" s="227"/>
      <c r="D47" s="227">
        <v>15</v>
      </c>
      <c r="E47" s="227">
        <v>70</v>
      </c>
      <c r="F47" s="226">
        <f t="shared" si="6"/>
        <v>7.0000000000000007E-2</v>
      </c>
      <c r="G47" s="226">
        <f t="shared" si="7"/>
        <v>15.07</v>
      </c>
      <c r="H47" s="274"/>
    </row>
    <row r="48" spans="2:13" x14ac:dyDescent="0.25">
      <c r="B48" s="228">
        <v>6</v>
      </c>
      <c r="C48" s="227"/>
      <c r="D48" s="227">
        <v>11</v>
      </c>
      <c r="E48" s="227">
        <v>110</v>
      </c>
      <c r="F48" s="226">
        <f t="shared" si="6"/>
        <v>0.11</v>
      </c>
      <c r="G48" s="226">
        <f t="shared" si="7"/>
        <v>11.11</v>
      </c>
      <c r="H48" s="274"/>
    </row>
    <row r="49" spans="2:8" x14ac:dyDescent="0.25">
      <c r="B49" s="228">
        <v>7</v>
      </c>
      <c r="C49" s="227"/>
      <c r="D49" s="227">
        <v>18</v>
      </c>
      <c r="E49" s="227">
        <v>150</v>
      </c>
      <c r="F49" s="226">
        <f t="shared" si="6"/>
        <v>0.15</v>
      </c>
      <c r="G49" s="226">
        <f t="shared" si="7"/>
        <v>18.149999999999999</v>
      </c>
      <c r="H49" s="274"/>
    </row>
    <row r="50" spans="2:8" ht="15.75" thickBot="1" x14ac:dyDescent="0.3">
      <c r="B50" s="225" t="s">
        <v>95</v>
      </c>
      <c r="C50" s="224"/>
      <c r="D50" s="224"/>
      <c r="E50" s="224"/>
      <c r="F50" s="223"/>
      <c r="G50" s="223"/>
      <c r="H50" s="222"/>
    </row>
  </sheetData>
  <mergeCells count="9">
    <mergeCell ref="H43:H49"/>
    <mergeCell ref="B41:H41"/>
    <mergeCell ref="H4:H10"/>
    <mergeCell ref="B2:M2"/>
    <mergeCell ref="H17:H23"/>
    <mergeCell ref="B15:H15"/>
    <mergeCell ref="H30:H36"/>
    <mergeCell ref="B28:H28"/>
    <mergeCell ref="I28:M28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72B63-8A19-4AB4-9F11-72BD0F1AB72E}">
  <dimension ref="B1:P45"/>
  <sheetViews>
    <sheetView tabSelected="1" zoomScale="85" zoomScaleNormal="85" workbookViewId="0">
      <selection activeCell="L37" sqref="L37"/>
    </sheetView>
  </sheetViews>
  <sheetFormatPr defaultRowHeight="15" x14ac:dyDescent="0.25"/>
  <cols>
    <col min="1" max="1" width="9.140625" style="1"/>
    <col min="2" max="2" width="20.85546875" style="1" bestFit="1" customWidth="1"/>
    <col min="3" max="3" width="20.85546875" style="1" customWidth="1"/>
    <col min="4" max="4" width="14.7109375" style="1" bestFit="1" customWidth="1"/>
    <col min="5" max="10" width="9.140625" style="1"/>
    <col min="11" max="11" width="31.5703125" style="1" bestFit="1" customWidth="1"/>
    <col min="12" max="16" width="12.85546875" style="1" bestFit="1" customWidth="1"/>
    <col min="17" max="16384" width="9.140625" style="1"/>
  </cols>
  <sheetData>
    <row r="1" spans="2:16" ht="15.75" thickBot="1" x14ac:dyDescent="0.3"/>
    <row r="2" spans="2:16" ht="15.75" thickBot="1" x14ac:dyDescent="0.3">
      <c r="B2" s="285" t="s">
        <v>161</v>
      </c>
      <c r="C2" s="286"/>
      <c r="D2" s="286"/>
      <c r="E2" s="286"/>
      <c r="F2" s="286"/>
      <c r="G2" s="286"/>
      <c r="H2" s="287"/>
      <c r="K2" s="279" t="s">
        <v>137</v>
      </c>
      <c r="L2" s="280"/>
      <c r="M2" s="280"/>
      <c r="N2" s="280"/>
      <c r="O2" s="280"/>
      <c r="P2" s="281"/>
    </row>
    <row r="3" spans="2:16" ht="15.75" thickBot="1" x14ac:dyDescent="0.3">
      <c r="B3" s="265" t="s">
        <v>146</v>
      </c>
      <c r="C3" s="267"/>
      <c r="D3" s="220" t="s">
        <v>160</v>
      </c>
      <c r="E3" s="219" t="s">
        <v>145</v>
      </c>
      <c r="F3" s="218">
        <v>1</v>
      </c>
      <c r="G3" s="219" t="s">
        <v>21</v>
      </c>
      <c r="H3" s="218">
        <v>25</v>
      </c>
      <c r="K3" s="4" t="s">
        <v>115</v>
      </c>
      <c r="L3" s="2">
        <v>21</v>
      </c>
      <c r="M3" s="2">
        <v>22</v>
      </c>
      <c r="N3" s="2">
        <v>23</v>
      </c>
      <c r="O3" s="2">
        <v>24</v>
      </c>
      <c r="P3" s="3">
        <v>25</v>
      </c>
    </row>
    <row r="4" spans="2:16" ht="15.75" thickBot="1" x14ac:dyDescent="0.3">
      <c r="B4" s="23" t="s">
        <v>94</v>
      </c>
      <c r="C4" s="208" t="s">
        <v>144</v>
      </c>
      <c r="D4" s="2">
        <v>21</v>
      </c>
      <c r="E4" s="2">
        <v>22</v>
      </c>
      <c r="F4" s="2">
        <v>23</v>
      </c>
      <c r="G4" s="2">
        <v>24</v>
      </c>
      <c r="H4" s="3">
        <v>25</v>
      </c>
      <c r="K4" s="5" t="s">
        <v>136</v>
      </c>
      <c r="L4" s="185">
        <v>146</v>
      </c>
      <c r="M4" s="185">
        <v>146</v>
      </c>
      <c r="N4" s="185">
        <v>145</v>
      </c>
      <c r="O4" s="185">
        <v>145</v>
      </c>
      <c r="P4" s="195">
        <v>145</v>
      </c>
    </row>
    <row r="5" spans="2:16" x14ac:dyDescent="0.25">
      <c r="B5" s="11" t="s">
        <v>143</v>
      </c>
      <c r="C5" s="5"/>
      <c r="D5" s="185">
        <f>SUM($M$15*L5,$N$15*L6)</f>
        <v>483</v>
      </c>
      <c r="E5" s="185">
        <f>SUM($M$15*M5,$N$15*M6)</f>
        <v>483</v>
      </c>
      <c r="F5" s="185">
        <f>SUM($M$15*N5,$N$15*N6)</f>
        <v>503</v>
      </c>
      <c r="G5" s="185">
        <f>SUM($M$15*O5,$N$15*O6)</f>
        <v>458</v>
      </c>
      <c r="H5" s="195">
        <f>SUM($M$15*P5,$N$15*P6)</f>
        <v>448</v>
      </c>
      <c r="K5" s="5" t="s">
        <v>135</v>
      </c>
      <c r="L5" s="185">
        <v>176</v>
      </c>
      <c r="M5" s="185">
        <v>191</v>
      </c>
      <c r="N5" s="185">
        <v>206</v>
      </c>
      <c r="O5" s="185">
        <v>190</v>
      </c>
      <c r="P5" s="195">
        <v>155</v>
      </c>
    </row>
    <row r="6" spans="2:16" x14ac:dyDescent="0.25">
      <c r="B6" s="11" t="s">
        <v>142</v>
      </c>
      <c r="C6" s="5"/>
      <c r="D6" s="7"/>
      <c r="E6" s="7"/>
      <c r="F6" s="7"/>
      <c r="G6" s="7"/>
      <c r="H6" s="8"/>
      <c r="K6" s="5" t="s">
        <v>134</v>
      </c>
      <c r="L6" s="185">
        <v>131</v>
      </c>
      <c r="M6" s="185">
        <v>101</v>
      </c>
      <c r="N6" s="185">
        <v>91</v>
      </c>
      <c r="O6" s="185">
        <v>78</v>
      </c>
      <c r="P6" s="195">
        <v>138</v>
      </c>
    </row>
    <row r="7" spans="2:16" x14ac:dyDescent="0.25">
      <c r="B7" s="11" t="s">
        <v>159</v>
      </c>
      <c r="C7" s="5"/>
      <c r="D7" s="185">
        <f>D9+200-D5</f>
        <v>508</v>
      </c>
      <c r="E7" s="185">
        <f>D7-E5</f>
        <v>25</v>
      </c>
      <c r="F7" s="185">
        <f>F9+E7-F5</f>
        <v>483</v>
      </c>
      <c r="G7" s="185">
        <f>F7-G5</f>
        <v>25</v>
      </c>
      <c r="H7" s="195">
        <f>H9+G7-H5</f>
        <v>25</v>
      </c>
      <c r="K7" s="5" t="s">
        <v>133</v>
      </c>
      <c r="L7" s="185">
        <v>82</v>
      </c>
      <c r="M7" s="185">
        <v>85</v>
      </c>
      <c r="N7" s="185">
        <v>89</v>
      </c>
      <c r="O7" s="185">
        <v>92</v>
      </c>
      <c r="P7" s="195">
        <v>95</v>
      </c>
    </row>
    <row r="8" spans="2:16" ht="15.75" thickBot="1" x14ac:dyDescent="0.3">
      <c r="B8" s="11" t="s">
        <v>140</v>
      </c>
      <c r="C8" s="5"/>
      <c r="D8" s="185">
        <f>D5-200+H3</f>
        <v>308</v>
      </c>
      <c r="E8" s="185">
        <v>0</v>
      </c>
      <c r="F8" s="185">
        <f>F5</f>
        <v>503</v>
      </c>
      <c r="G8" s="185">
        <v>0</v>
      </c>
      <c r="H8" s="195">
        <f>H5</f>
        <v>448</v>
      </c>
      <c r="K8" s="6" t="s">
        <v>132</v>
      </c>
      <c r="L8" s="201">
        <v>47</v>
      </c>
      <c r="M8" s="201">
        <v>49</v>
      </c>
      <c r="N8" s="201">
        <v>47</v>
      </c>
      <c r="O8" s="201">
        <v>47</v>
      </c>
      <c r="P8" s="200">
        <v>47</v>
      </c>
    </row>
    <row r="9" spans="2:16" x14ac:dyDescent="0.25">
      <c r="B9" s="11" t="s">
        <v>139</v>
      </c>
      <c r="C9" s="5"/>
      <c r="D9" s="185">
        <f>D8+E5</f>
        <v>791</v>
      </c>
      <c r="E9" s="185">
        <v>0</v>
      </c>
      <c r="F9" s="185">
        <f>F8+G5</f>
        <v>961</v>
      </c>
      <c r="G9" s="185">
        <v>0</v>
      </c>
      <c r="H9" s="195">
        <f>H8</f>
        <v>448</v>
      </c>
    </row>
    <row r="10" spans="2:16" ht="15.75" thickBot="1" x14ac:dyDescent="0.3">
      <c r="B10" s="27" t="s">
        <v>138</v>
      </c>
      <c r="C10" s="6">
        <v>791</v>
      </c>
      <c r="D10" s="212">
        <f>E9</f>
        <v>0</v>
      </c>
      <c r="E10" s="212">
        <f>F9</f>
        <v>961</v>
      </c>
      <c r="F10" s="212">
        <f>G9</f>
        <v>0</v>
      </c>
      <c r="G10" s="212">
        <f>H9</f>
        <v>448</v>
      </c>
      <c r="H10" s="221">
        <v>0</v>
      </c>
    </row>
    <row r="11" spans="2:16" ht="15.75" thickBot="1" x14ac:dyDescent="0.3">
      <c r="D11" s="187"/>
      <c r="K11" s="279" t="s">
        <v>158</v>
      </c>
      <c r="L11" s="280"/>
      <c r="M11" s="280"/>
      <c r="N11" s="280"/>
      <c r="O11" s="280"/>
      <c r="P11" s="281"/>
    </row>
    <row r="12" spans="2:16" ht="15.75" thickBot="1" x14ac:dyDescent="0.3">
      <c r="K12" s="4"/>
      <c r="L12" s="2" t="s">
        <v>1</v>
      </c>
      <c r="M12" s="2" t="s">
        <v>2</v>
      </c>
      <c r="N12" s="2" t="s">
        <v>3</v>
      </c>
      <c r="O12" s="2" t="s">
        <v>4</v>
      </c>
      <c r="P12" s="3" t="s">
        <v>5</v>
      </c>
    </row>
    <row r="13" spans="2:16" ht="15.75" thickBot="1" x14ac:dyDescent="0.3">
      <c r="B13" s="285" t="s">
        <v>157</v>
      </c>
      <c r="C13" s="286"/>
      <c r="D13" s="286"/>
      <c r="E13" s="286"/>
      <c r="F13" s="286"/>
      <c r="G13" s="286"/>
      <c r="H13" s="287"/>
      <c r="K13" s="5" t="s">
        <v>154</v>
      </c>
      <c r="L13" s="24">
        <v>3</v>
      </c>
      <c r="M13" s="24" t="s">
        <v>34</v>
      </c>
      <c r="N13" s="24">
        <v>1</v>
      </c>
      <c r="O13" s="24" t="s">
        <v>34</v>
      </c>
      <c r="P13" s="215">
        <v>1</v>
      </c>
    </row>
    <row r="14" spans="2:16" ht="15.75" thickBot="1" x14ac:dyDescent="0.3">
      <c r="B14" s="265" t="s">
        <v>146</v>
      </c>
      <c r="C14" s="267"/>
      <c r="D14" s="220">
        <v>200</v>
      </c>
      <c r="E14" s="219" t="s">
        <v>145</v>
      </c>
      <c r="F14" s="218">
        <v>0</v>
      </c>
      <c r="G14" s="219" t="s">
        <v>21</v>
      </c>
      <c r="H14" s="218">
        <v>0</v>
      </c>
      <c r="K14" s="5" t="s">
        <v>153</v>
      </c>
      <c r="L14" s="24" t="s">
        <v>34</v>
      </c>
      <c r="M14" s="24" t="s">
        <v>34</v>
      </c>
      <c r="N14" s="24" t="s">
        <v>34</v>
      </c>
      <c r="O14" s="24">
        <v>1</v>
      </c>
      <c r="P14" s="215">
        <v>1</v>
      </c>
    </row>
    <row r="15" spans="2:16" ht="15.75" thickBot="1" x14ac:dyDescent="0.3">
      <c r="B15" s="23" t="s">
        <v>94</v>
      </c>
      <c r="C15" s="208" t="s">
        <v>144</v>
      </c>
      <c r="D15" s="2">
        <v>21</v>
      </c>
      <c r="E15" s="2">
        <v>22</v>
      </c>
      <c r="F15" s="2">
        <v>23</v>
      </c>
      <c r="G15" s="2">
        <v>24</v>
      </c>
      <c r="H15" s="3">
        <v>25</v>
      </c>
      <c r="K15" s="5" t="s">
        <v>152</v>
      </c>
      <c r="L15" s="24" t="s">
        <v>34</v>
      </c>
      <c r="M15" s="24">
        <v>2</v>
      </c>
      <c r="N15" s="24">
        <v>1</v>
      </c>
      <c r="O15" s="24" t="s">
        <v>34</v>
      </c>
      <c r="P15" s="215" t="s">
        <v>34</v>
      </c>
    </row>
    <row r="16" spans="2:16" ht="15.75" thickBot="1" x14ac:dyDescent="0.3">
      <c r="B16" s="11" t="s">
        <v>143</v>
      </c>
      <c r="C16" s="5"/>
      <c r="D16" s="185">
        <f>SUM(L7*$O$14,L8*$P$14)</f>
        <v>129</v>
      </c>
      <c r="E16" s="185">
        <f>SUM(M7*$O$14,M8*$P$14)</f>
        <v>134</v>
      </c>
      <c r="F16" s="185">
        <f>SUM(N7*$O$14,N8*$P$14)</f>
        <v>136</v>
      </c>
      <c r="G16" s="185">
        <f>SUM(O7*$O$14,O8*$P$14)</f>
        <v>139</v>
      </c>
      <c r="H16" s="195">
        <f>SUM(P7*$O$14,P8*$P$14)</f>
        <v>142</v>
      </c>
      <c r="K16" s="6" t="s">
        <v>150</v>
      </c>
      <c r="L16" s="214">
        <v>1</v>
      </c>
      <c r="M16" s="214">
        <v>1</v>
      </c>
      <c r="N16" s="214" t="s">
        <v>34</v>
      </c>
      <c r="O16" s="214">
        <v>1</v>
      </c>
      <c r="P16" s="213" t="s">
        <v>34</v>
      </c>
    </row>
    <row r="17" spans="2:15" x14ac:dyDescent="0.25">
      <c r="B17" s="11" t="s">
        <v>142</v>
      </c>
      <c r="C17" s="5"/>
      <c r="D17" s="7"/>
      <c r="E17" s="7"/>
      <c r="F17" s="7"/>
      <c r="G17" s="7"/>
      <c r="H17" s="8"/>
    </row>
    <row r="18" spans="2:15" ht="15.75" thickBot="1" x14ac:dyDescent="0.3">
      <c r="B18" s="11" t="s">
        <v>156</v>
      </c>
      <c r="C18" s="5"/>
      <c r="D18" s="185">
        <f>150-D16</f>
        <v>21</v>
      </c>
      <c r="E18" s="185">
        <f>E20-E19</f>
        <v>87</v>
      </c>
      <c r="F18" s="185">
        <f>F20-F19</f>
        <v>151</v>
      </c>
      <c r="G18" s="185">
        <f>F18-G16</f>
        <v>12</v>
      </c>
      <c r="H18" s="195">
        <f>H20-H19</f>
        <v>70</v>
      </c>
    </row>
    <row r="19" spans="2:15" ht="15.75" thickBot="1" x14ac:dyDescent="0.3">
      <c r="B19" s="11" t="s">
        <v>140</v>
      </c>
      <c r="C19" s="5"/>
      <c r="D19" s="185"/>
      <c r="E19" s="185">
        <f>E16-D18+H14</f>
        <v>113</v>
      </c>
      <c r="F19" s="185">
        <f>F16-E18+H14</f>
        <v>49</v>
      </c>
      <c r="G19" s="7"/>
      <c r="H19" s="195">
        <f>H16-G18+H14</f>
        <v>130</v>
      </c>
      <c r="K19" s="282" t="s">
        <v>155</v>
      </c>
      <c r="L19" s="283"/>
      <c r="M19" s="283"/>
      <c r="N19" s="283"/>
      <c r="O19" s="284"/>
    </row>
    <row r="20" spans="2:15" ht="15.75" thickBot="1" x14ac:dyDescent="0.3">
      <c r="B20" s="11" t="s">
        <v>139</v>
      </c>
      <c r="C20" s="5"/>
      <c r="D20" s="185">
        <v>0</v>
      </c>
      <c r="E20" s="185">
        <v>200</v>
      </c>
      <c r="F20" s="7">
        <v>200</v>
      </c>
      <c r="G20" s="7">
        <v>0</v>
      </c>
      <c r="H20" s="8">
        <v>200</v>
      </c>
      <c r="K20" s="4"/>
      <c r="L20" s="2" t="s">
        <v>154</v>
      </c>
      <c r="M20" s="2" t="s">
        <v>153</v>
      </c>
      <c r="N20" s="2" t="s">
        <v>152</v>
      </c>
      <c r="O20" s="3" t="s">
        <v>150</v>
      </c>
    </row>
    <row r="21" spans="2:15" ht="15.75" thickBot="1" x14ac:dyDescent="0.3">
      <c r="B21" s="27" t="s">
        <v>138</v>
      </c>
      <c r="C21" s="6"/>
      <c r="D21" s="201">
        <f>D20</f>
        <v>0</v>
      </c>
      <c r="E21" s="201">
        <f>E20</f>
        <v>200</v>
      </c>
      <c r="F21" s="201">
        <f>F20</f>
        <v>200</v>
      </c>
      <c r="G21" s="201">
        <f>G20</f>
        <v>0</v>
      </c>
      <c r="H21" s="200">
        <f>H20</f>
        <v>200</v>
      </c>
      <c r="K21" s="5" t="s">
        <v>154</v>
      </c>
      <c r="L21" s="114" t="s">
        <v>34</v>
      </c>
      <c r="M21" s="217">
        <v>5</v>
      </c>
      <c r="N21" s="217" t="s">
        <v>34</v>
      </c>
      <c r="O21" s="216" t="s">
        <v>34</v>
      </c>
    </row>
    <row r="22" spans="2:15" x14ac:dyDescent="0.25">
      <c r="K22" s="5" t="s">
        <v>153</v>
      </c>
      <c r="L22" s="115" t="s">
        <v>34</v>
      </c>
      <c r="M22" s="24" t="s">
        <v>34</v>
      </c>
      <c r="N22" s="24" t="s">
        <v>34</v>
      </c>
      <c r="O22" s="215" t="s">
        <v>34</v>
      </c>
    </row>
    <row r="23" spans="2:15" ht="15.75" thickBot="1" x14ac:dyDescent="0.3">
      <c r="K23" s="5" t="s">
        <v>152</v>
      </c>
      <c r="L23" s="115" t="s">
        <v>34</v>
      </c>
      <c r="M23" s="24" t="s">
        <v>34</v>
      </c>
      <c r="N23" s="24" t="s">
        <v>34</v>
      </c>
      <c r="O23" s="215" t="s">
        <v>34</v>
      </c>
    </row>
    <row r="24" spans="2:15" ht="15.75" thickBot="1" x14ac:dyDescent="0.3">
      <c r="B24" s="265" t="s">
        <v>151</v>
      </c>
      <c r="C24" s="266"/>
      <c r="D24" s="266"/>
      <c r="E24" s="266"/>
      <c r="F24" s="266"/>
      <c r="G24" s="266"/>
      <c r="H24" s="267"/>
      <c r="K24" s="6" t="s">
        <v>150</v>
      </c>
      <c r="L24" s="116" t="s">
        <v>34</v>
      </c>
      <c r="M24" s="214" t="s">
        <v>34</v>
      </c>
      <c r="N24" s="214">
        <v>4</v>
      </c>
      <c r="O24" s="213" t="s">
        <v>34</v>
      </c>
    </row>
    <row r="25" spans="2:15" ht="15.75" thickBot="1" x14ac:dyDescent="0.3">
      <c r="B25" s="265" t="s">
        <v>146</v>
      </c>
      <c r="C25" s="267"/>
      <c r="D25" s="209" t="s">
        <v>149</v>
      </c>
      <c r="E25" s="210" t="s">
        <v>145</v>
      </c>
      <c r="F25" s="209"/>
      <c r="G25" s="210" t="s">
        <v>21</v>
      </c>
      <c r="H25" s="209">
        <v>50</v>
      </c>
    </row>
    <row r="26" spans="2:15" ht="15.75" thickBot="1" x14ac:dyDescent="0.3">
      <c r="B26" s="23" t="s">
        <v>94</v>
      </c>
      <c r="C26" s="208" t="s">
        <v>144</v>
      </c>
      <c r="D26" s="2">
        <v>21</v>
      </c>
      <c r="E26" s="2">
        <v>22</v>
      </c>
      <c r="F26" s="2">
        <v>23</v>
      </c>
      <c r="G26" s="2">
        <v>24</v>
      </c>
      <c r="H26" s="3">
        <v>25</v>
      </c>
    </row>
    <row r="27" spans="2:15" x14ac:dyDescent="0.25">
      <c r="B27" s="11" t="s">
        <v>143</v>
      </c>
      <c r="C27" s="5"/>
      <c r="D27" s="185">
        <f>SUM($L$16*L4,$M$16*L5,$O$16*L7,$N$24*D10,791,595)</f>
        <v>1790</v>
      </c>
      <c r="E27" s="185">
        <f>SUM($L$16*M4,$M$16*M5,$O$16*M7,$N$24*E10)</f>
        <v>4266</v>
      </c>
      <c r="F27" s="185">
        <f>SUM($L$16*N4,$M$16*N5,$O$16*N7,$N$24*F10)</f>
        <v>440</v>
      </c>
      <c r="G27" s="185">
        <f>SUM($L$16*O4,$M$16*O5,$O$16*O7,$N$24*G10)</f>
        <v>2219</v>
      </c>
      <c r="H27" s="195">
        <f>SUM($L$16*P4,$M$16*P5,$O$16*P7,$N$24*H10)</f>
        <v>395</v>
      </c>
    </row>
    <row r="28" spans="2:15" x14ac:dyDescent="0.25">
      <c r="B28" s="11" t="s">
        <v>142</v>
      </c>
      <c r="C28" s="5"/>
      <c r="D28" s="7"/>
      <c r="E28" s="7"/>
      <c r="F28" s="7"/>
      <c r="G28" s="7"/>
      <c r="H28" s="8"/>
    </row>
    <row r="29" spans="2:15" x14ac:dyDescent="0.25">
      <c r="B29" s="11" t="s">
        <v>148</v>
      </c>
      <c r="C29" s="5"/>
      <c r="D29" s="185">
        <f>D31+650-D27</f>
        <v>50</v>
      </c>
      <c r="E29" s="185">
        <f>(E31+D29)-E27</f>
        <v>50</v>
      </c>
      <c r="F29" s="185">
        <f>(F31+E29)-F27</f>
        <v>50</v>
      </c>
      <c r="G29" s="185">
        <f>(G31+F29)-G27</f>
        <v>50</v>
      </c>
      <c r="H29" s="195">
        <f>(H31+G29)-H27</f>
        <v>50</v>
      </c>
    </row>
    <row r="30" spans="2:15" x14ac:dyDescent="0.25">
      <c r="B30" s="11" t="s">
        <v>140</v>
      </c>
      <c r="C30" s="5"/>
      <c r="D30" s="185">
        <f>D27-650+H25</f>
        <v>1190</v>
      </c>
      <c r="E30" s="185">
        <f>E27-D29+$H$25</f>
        <v>4266</v>
      </c>
      <c r="F30" s="185">
        <f>F27-E29+$H$25</f>
        <v>440</v>
      </c>
      <c r="G30" s="185">
        <f>G27-F29+$H$25</f>
        <v>2219</v>
      </c>
      <c r="H30" s="195">
        <f>H27-G29+$H$25</f>
        <v>395</v>
      </c>
    </row>
    <row r="31" spans="2:15" x14ac:dyDescent="0.25">
      <c r="B31" s="11" t="s">
        <v>139</v>
      </c>
      <c r="C31" s="5"/>
      <c r="D31" s="185">
        <f>D30</f>
        <v>1190</v>
      </c>
      <c r="E31" s="185">
        <f>E30</f>
        <v>4266</v>
      </c>
      <c r="F31" s="185">
        <f>F30</f>
        <v>440</v>
      </c>
      <c r="G31" s="185">
        <f>G30</f>
        <v>2219</v>
      </c>
      <c r="H31" s="195">
        <f>H30</f>
        <v>395</v>
      </c>
    </row>
    <row r="32" spans="2:15" ht="15.75" thickBot="1" x14ac:dyDescent="0.3">
      <c r="B32" s="27" t="s">
        <v>138</v>
      </c>
      <c r="C32" s="6">
        <v>595</v>
      </c>
      <c r="D32" s="212">
        <f>E31</f>
        <v>4266</v>
      </c>
      <c r="E32" s="212">
        <f>F31</f>
        <v>440</v>
      </c>
      <c r="F32" s="212">
        <f>G31</f>
        <v>2219</v>
      </c>
      <c r="G32" s="212">
        <f>H31</f>
        <v>395</v>
      </c>
      <c r="H32" s="211">
        <f>I31</f>
        <v>0</v>
      </c>
    </row>
    <row r="34" spans="2:11" ht="15.75" thickBot="1" x14ac:dyDescent="0.3"/>
    <row r="35" spans="2:11" ht="15.75" thickBot="1" x14ac:dyDescent="0.3">
      <c r="B35" s="265" t="s">
        <v>147</v>
      </c>
      <c r="C35" s="266"/>
      <c r="D35" s="266"/>
      <c r="E35" s="266"/>
      <c r="F35" s="266"/>
      <c r="G35" s="266"/>
      <c r="H35" s="267"/>
    </row>
    <row r="36" spans="2:11" ht="15.75" thickBot="1" x14ac:dyDescent="0.3">
      <c r="B36" s="265" t="s">
        <v>146</v>
      </c>
      <c r="C36" s="267"/>
      <c r="D36" s="209">
        <v>1000</v>
      </c>
      <c r="E36" s="210" t="s">
        <v>145</v>
      </c>
      <c r="F36" s="209">
        <v>1</v>
      </c>
      <c r="G36" s="210" t="s">
        <v>21</v>
      </c>
      <c r="H36" s="209">
        <v>100</v>
      </c>
      <c r="K36" s="187"/>
    </row>
    <row r="37" spans="2:11" ht="15.75" thickBot="1" x14ac:dyDescent="0.3">
      <c r="B37" s="23" t="s">
        <v>94</v>
      </c>
      <c r="C37" s="208" t="s">
        <v>144</v>
      </c>
      <c r="D37" s="2">
        <v>21</v>
      </c>
      <c r="E37" s="2">
        <v>22</v>
      </c>
      <c r="F37" s="2">
        <v>23</v>
      </c>
      <c r="G37" s="2">
        <v>24</v>
      </c>
      <c r="H37" s="3">
        <v>25</v>
      </c>
      <c r="K37" s="187"/>
    </row>
    <row r="38" spans="2:11" x14ac:dyDescent="0.25">
      <c r="B38" s="11" t="s">
        <v>143</v>
      </c>
      <c r="C38" s="5"/>
      <c r="D38" s="185">
        <f>SUM($L$13*L4,$N$13*L6,$P$13*L8,$M$21*D21,2000)</f>
        <v>2616</v>
      </c>
      <c r="E38" s="185">
        <f>SUM($L$13*M4,$N$13*M6,$P$13*M8,$M$21*E21)</f>
        <v>1588</v>
      </c>
      <c r="F38" s="185">
        <f>SUM($L$13*N4,$N$13*N6,$P$13*N8,$M$21*F21)</f>
        <v>1573</v>
      </c>
      <c r="G38" s="185">
        <f>SUM($L$13*O4,$N$13*O6,$P$13*O8,$M$21*G21)</f>
        <v>560</v>
      </c>
      <c r="H38" s="195">
        <f>SUM($L$13*P4,$N$13*P6,$P$13*P8,$M$21*H21)</f>
        <v>1620</v>
      </c>
      <c r="K38" s="187"/>
    </row>
    <row r="39" spans="2:11" x14ac:dyDescent="0.25">
      <c r="B39" s="11" t="s">
        <v>142</v>
      </c>
      <c r="C39" s="5"/>
      <c r="D39" s="7"/>
      <c r="E39" s="7"/>
      <c r="F39" s="7"/>
      <c r="G39" s="7"/>
      <c r="H39" s="8"/>
    </row>
    <row r="40" spans="2:11" x14ac:dyDescent="0.25">
      <c r="B40" s="11" t="s">
        <v>141</v>
      </c>
      <c r="C40" s="5"/>
      <c r="D40" s="206">
        <f>D42-D41</f>
        <v>834</v>
      </c>
      <c r="E40" s="206">
        <f>E42-E41</f>
        <v>246</v>
      </c>
      <c r="F40" s="206">
        <f>F42-F41</f>
        <v>673</v>
      </c>
      <c r="G40" s="206">
        <f>F40-G38</f>
        <v>113</v>
      </c>
      <c r="H40" s="207">
        <f>H42-H41</f>
        <v>493</v>
      </c>
    </row>
    <row r="41" spans="2:11" x14ac:dyDescent="0.25">
      <c r="B41" s="11" t="s">
        <v>140</v>
      </c>
      <c r="C41" s="5"/>
      <c r="D41" s="206">
        <f>D38-450</f>
        <v>2166</v>
      </c>
      <c r="E41" s="206">
        <f>E38-D40</f>
        <v>754</v>
      </c>
      <c r="F41" s="206">
        <f>F38-E40</f>
        <v>1327</v>
      </c>
      <c r="G41" s="206"/>
      <c r="H41" s="207">
        <f>H38-G40</f>
        <v>1507</v>
      </c>
    </row>
    <row r="42" spans="2:11" x14ac:dyDescent="0.25">
      <c r="B42" s="11" t="s">
        <v>139</v>
      </c>
      <c r="C42" s="5"/>
      <c r="D42" s="206">
        <f>D36*3</f>
        <v>3000</v>
      </c>
      <c r="E42" s="206">
        <f>D36</f>
        <v>1000</v>
      </c>
      <c r="F42" s="205">
        <f>D36*2</f>
        <v>2000</v>
      </c>
      <c r="G42" s="205"/>
      <c r="H42" s="204">
        <f>D36*2</f>
        <v>2000</v>
      </c>
    </row>
    <row r="43" spans="2:11" ht="15.75" thickBot="1" x14ac:dyDescent="0.3">
      <c r="B43" s="27" t="s">
        <v>138</v>
      </c>
      <c r="C43" s="6">
        <v>2000</v>
      </c>
      <c r="D43" s="203">
        <f>E42</f>
        <v>1000</v>
      </c>
      <c r="E43" s="203">
        <f>F42</f>
        <v>2000</v>
      </c>
      <c r="F43" s="203">
        <f>G42</f>
        <v>0</v>
      </c>
      <c r="G43" s="203">
        <f>H42</f>
        <v>2000</v>
      </c>
      <c r="H43" s="202">
        <v>0</v>
      </c>
      <c r="I43" s="165"/>
    </row>
    <row r="44" spans="2:11" x14ac:dyDescent="0.25">
      <c r="E44" s="187"/>
    </row>
    <row r="45" spans="2:11" x14ac:dyDescent="0.25">
      <c r="E45" s="187"/>
    </row>
  </sheetData>
  <mergeCells count="11">
    <mergeCell ref="B36:C36"/>
    <mergeCell ref="B25:C25"/>
    <mergeCell ref="B14:C14"/>
    <mergeCell ref="B3:C3"/>
    <mergeCell ref="B24:H24"/>
    <mergeCell ref="B35:H35"/>
    <mergeCell ref="K2:P2"/>
    <mergeCell ref="K11:P11"/>
    <mergeCell ref="K19:O19"/>
    <mergeCell ref="B2:H2"/>
    <mergeCell ref="B13:H1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8C17-C1A4-408E-B22A-062FE9D4BDE0}">
  <dimension ref="B2:H16"/>
  <sheetViews>
    <sheetView zoomScale="85" zoomScaleNormal="85" workbookViewId="0">
      <selection activeCell="C5" sqref="C5"/>
    </sheetView>
  </sheetViews>
  <sheetFormatPr defaultRowHeight="15" x14ac:dyDescent="0.25"/>
  <cols>
    <col min="2" max="2" width="31.5703125" bestFit="1" customWidth="1"/>
  </cols>
  <sheetData>
    <row r="2" spans="2:8" ht="15.75" thickBot="1" x14ac:dyDescent="0.3"/>
    <row r="3" spans="2:8" ht="15.75" thickBot="1" x14ac:dyDescent="0.3">
      <c r="B3" s="279" t="s">
        <v>137</v>
      </c>
      <c r="C3" s="280"/>
      <c r="D3" s="280"/>
      <c r="E3" s="280"/>
      <c r="F3" s="280"/>
      <c r="G3" s="281"/>
    </row>
    <row r="4" spans="2:8" ht="15.75" thickBot="1" x14ac:dyDescent="0.3">
      <c r="B4" s="4" t="s">
        <v>115</v>
      </c>
      <c r="C4" s="2">
        <v>21</v>
      </c>
      <c r="D4" s="2">
        <v>22</v>
      </c>
      <c r="E4" s="2">
        <v>23</v>
      </c>
      <c r="F4" s="2">
        <v>24</v>
      </c>
      <c r="G4" s="3">
        <v>25</v>
      </c>
    </row>
    <row r="5" spans="2:8" x14ac:dyDescent="0.25">
      <c r="B5" s="5" t="s">
        <v>136</v>
      </c>
      <c r="C5" s="185">
        <v>146.137743</v>
      </c>
      <c r="D5" s="185">
        <v>145.7101945</v>
      </c>
      <c r="E5" s="185">
        <v>145.36815559999999</v>
      </c>
      <c r="F5" s="185">
        <v>145.09452450000001</v>
      </c>
      <c r="G5" s="195">
        <v>144.87561959999999</v>
      </c>
    </row>
    <row r="6" spans="2:8" x14ac:dyDescent="0.25">
      <c r="B6" s="5" t="s">
        <v>135</v>
      </c>
      <c r="C6" s="185">
        <v>175.63357359388553</v>
      </c>
      <c r="D6" s="185">
        <v>191.4468965319258</v>
      </c>
      <c r="E6" s="185">
        <v>205.9499413702824</v>
      </c>
      <c r="F6" s="185">
        <v>190.17706050483682</v>
      </c>
      <c r="G6" s="195">
        <v>155.43767477620545</v>
      </c>
    </row>
    <row r="7" spans="2:8" x14ac:dyDescent="0.25">
      <c r="B7" s="5" t="s">
        <v>134</v>
      </c>
      <c r="C7" s="185">
        <v>131.23032574583266</v>
      </c>
      <c r="D7" s="185">
        <v>101.34374290282371</v>
      </c>
      <c r="E7" s="185">
        <v>91.030977477099938</v>
      </c>
      <c r="F7" s="185">
        <v>78.187607921339122</v>
      </c>
      <c r="G7" s="195">
        <v>138.18798419795627</v>
      </c>
    </row>
    <row r="8" spans="2:8" x14ac:dyDescent="0.25">
      <c r="B8" s="5" t="s">
        <v>133</v>
      </c>
      <c r="C8" s="185">
        <v>82.315789469999999</v>
      </c>
      <c r="D8" s="185">
        <v>85.488721799999993</v>
      </c>
      <c r="E8" s="185">
        <v>88.661654139999996</v>
      </c>
      <c r="F8" s="185">
        <v>91.834586470000005</v>
      </c>
      <c r="G8" s="195">
        <v>95.0075188</v>
      </c>
    </row>
    <row r="9" spans="2:8" ht="15.75" thickBot="1" x14ac:dyDescent="0.3">
      <c r="B9" s="6" t="s">
        <v>132</v>
      </c>
      <c r="C9" s="201">
        <v>47.375</v>
      </c>
      <c r="D9" s="201">
        <v>48.857142899999999</v>
      </c>
      <c r="E9" s="201">
        <v>46.8333333</v>
      </c>
      <c r="F9" s="201">
        <v>47.2</v>
      </c>
      <c r="G9" s="200">
        <v>47</v>
      </c>
    </row>
    <row r="10" spans="2:8" x14ac:dyDescent="0.25">
      <c r="B10" s="7"/>
      <c r="C10" s="185"/>
      <c r="D10" s="185"/>
      <c r="E10" s="185"/>
      <c r="F10" s="185"/>
      <c r="G10" s="185"/>
      <c r="H10" s="199"/>
    </row>
    <row r="11" spans="2:8" x14ac:dyDescent="0.25">
      <c r="B11" s="7"/>
      <c r="C11" s="185"/>
      <c r="D11" s="185"/>
      <c r="E11" s="185"/>
      <c r="F11" s="185"/>
      <c r="G11" s="185"/>
      <c r="H11" s="199"/>
    </row>
    <row r="12" spans="2:8" x14ac:dyDescent="0.25">
      <c r="B12" s="7"/>
      <c r="C12" s="185"/>
      <c r="D12" s="185"/>
      <c r="E12" s="185"/>
      <c r="F12" s="185"/>
      <c r="G12" s="185"/>
      <c r="H12" s="199"/>
    </row>
    <row r="13" spans="2:8" x14ac:dyDescent="0.25">
      <c r="B13" s="199"/>
      <c r="C13" s="199"/>
      <c r="D13" s="199"/>
      <c r="E13" s="199"/>
      <c r="F13" s="199"/>
      <c r="G13" s="199"/>
      <c r="H13" s="199"/>
    </row>
    <row r="14" spans="2:8" x14ac:dyDescent="0.25">
      <c r="B14" s="199"/>
      <c r="C14" s="199"/>
      <c r="D14" s="199"/>
      <c r="E14" s="199"/>
      <c r="F14" s="199"/>
      <c r="G14" s="199"/>
      <c r="H14" s="199"/>
    </row>
    <row r="15" spans="2:8" x14ac:dyDescent="0.25">
      <c r="B15" s="199"/>
      <c r="C15" s="199"/>
      <c r="D15" s="199"/>
      <c r="E15" s="199"/>
      <c r="F15" s="199"/>
      <c r="G15" s="199"/>
      <c r="H15" s="199"/>
    </row>
    <row r="16" spans="2:8" x14ac:dyDescent="0.25">
      <c r="B16" s="199"/>
      <c r="C16" s="199"/>
      <c r="D16" s="199"/>
      <c r="E16" s="199"/>
      <c r="F16" s="199"/>
      <c r="G16" s="199"/>
      <c r="H16" s="199"/>
    </row>
  </sheetData>
  <mergeCells count="1">
    <mergeCell ref="B3:G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334AB-6842-4AF7-B59E-897A053C976B}">
  <dimension ref="B2:E11"/>
  <sheetViews>
    <sheetView zoomScale="91" zoomScaleNormal="91" workbookViewId="0">
      <selection activeCell="C16" sqref="C16"/>
    </sheetView>
  </sheetViews>
  <sheetFormatPr defaultRowHeight="15" x14ac:dyDescent="0.25"/>
  <cols>
    <col min="1" max="1" width="9.140625" style="1"/>
    <col min="2" max="2" width="13.7109375" style="1" bestFit="1" customWidth="1"/>
    <col min="3" max="3" width="20.28515625" style="1" bestFit="1" customWidth="1"/>
    <col min="4" max="4" width="20" style="1" bestFit="1" customWidth="1"/>
    <col min="5" max="5" width="19.7109375" style="1" bestFit="1" customWidth="1"/>
    <col min="6" max="16384" width="9.140625" style="1"/>
  </cols>
  <sheetData>
    <row r="2" spans="2:5" ht="15.75" thickBot="1" x14ac:dyDescent="0.3"/>
    <row r="3" spans="2:5" ht="15.75" thickBot="1" x14ac:dyDescent="0.3">
      <c r="B3" s="180" t="s">
        <v>75</v>
      </c>
      <c r="C3" s="91" t="s">
        <v>98</v>
      </c>
      <c r="D3" s="179" t="s">
        <v>97</v>
      </c>
      <c r="E3" s="179" t="s">
        <v>96</v>
      </c>
    </row>
    <row r="4" spans="2:5" x14ac:dyDescent="0.25">
      <c r="B4" s="115">
        <v>1</v>
      </c>
      <c r="C4" s="178">
        <v>201368.82576799998</v>
      </c>
      <c r="D4" s="177">
        <v>201447.32368799997</v>
      </c>
      <c r="E4" s="176">
        <f>MIN(C4:D4)</f>
        <v>201368.82576799998</v>
      </c>
    </row>
    <row r="5" spans="2:5" x14ac:dyDescent="0.25">
      <c r="B5" s="115">
        <v>2</v>
      </c>
      <c r="C5" s="175">
        <v>221908.38825782912</v>
      </c>
      <c r="D5" s="174">
        <v>170532.87877774308</v>
      </c>
      <c r="E5" s="173">
        <f>MIN(C5:D5)</f>
        <v>170532.87877774308</v>
      </c>
    </row>
    <row r="6" spans="2:5" x14ac:dyDescent="0.25">
      <c r="B6" s="115">
        <v>3</v>
      </c>
      <c r="C6" s="175">
        <v>226902.61383691803</v>
      </c>
      <c r="D6" s="174">
        <v>174149.89886719495</v>
      </c>
      <c r="E6" s="173">
        <f>MIN(C6:D6)</f>
        <v>174149.89886719495</v>
      </c>
    </row>
    <row r="7" spans="2:5" x14ac:dyDescent="0.25">
      <c r="B7" s="115">
        <v>4</v>
      </c>
      <c r="C7" s="175">
        <v>264166.91729320004</v>
      </c>
      <c r="D7" s="174">
        <v>243518.79699375998</v>
      </c>
      <c r="E7" s="173">
        <f>MIN(C7:D7)</f>
        <v>243518.79699375998</v>
      </c>
    </row>
    <row r="8" spans="2:5" ht="15.75" thickBot="1" x14ac:dyDescent="0.3">
      <c r="B8" s="116">
        <v>5</v>
      </c>
      <c r="C8" s="172">
        <v>257490.61904799999</v>
      </c>
      <c r="D8" s="171">
        <v>257678.49571806</v>
      </c>
      <c r="E8" s="170">
        <f>MIN(C8:D8)</f>
        <v>257490.61904799999</v>
      </c>
    </row>
    <row r="9" spans="2:5" ht="15.75" thickBot="1" x14ac:dyDescent="0.3">
      <c r="B9" s="288" t="s">
        <v>95</v>
      </c>
      <c r="C9" s="289"/>
      <c r="D9" s="289"/>
      <c r="E9" s="169">
        <f>SUM(E4:E8)</f>
        <v>1047061.019454698</v>
      </c>
    </row>
    <row r="11" spans="2:5" x14ac:dyDescent="0.25">
      <c r="E11" s="168"/>
    </row>
  </sheetData>
  <mergeCells count="1">
    <mergeCell ref="B9:D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5326-10B0-4AC6-A6DA-62B47B6A395A}">
  <dimension ref="A1:K27"/>
  <sheetViews>
    <sheetView zoomScale="86" zoomScaleNormal="86" workbookViewId="0">
      <selection activeCell="H13" sqref="H13"/>
    </sheetView>
  </sheetViews>
  <sheetFormatPr defaultRowHeight="15" x14ac:dyDescent="0.25"/>
  <cols>
    <col min="1" max="1" width="25.5703125" style="1" bestFit="1" customWidth="1"/>
    <col min="2" max="2" width="9.140625" style="1"/>
    <col min="3" max="3" width="9.140625" style="1" customWidth="1"/>
    <col min="4" max="6" width="9.140625" style="1"/>
    <col min="7" max="7" width="14.5703125" style="1" bestFit="1" customWidth="1"/>
    <col min="8" max="8" width="9.140625" style="1"/>
    <col min="9" max="9" width="9.140625" style="1" customWidth="1"/>
    <col min="10" max="10" width="58.140625" style="1" customWidth="1"/>
    <col min="11" max="16384" width="9.140625" style="1"/>
  </cols>
  <sheetData>
    <row r="1" spans="1:11" ht="15.75" thickBot="1" x14ac:dyDescent="0.3">
      <c r="A1" s="295" t="s">
        <v>131</v>
      </c>
      <c r="B1" s="296"/>
      <c r="C1" s="296"/>
      <c r="D1" s="296"/>
      <c r="E1" s="296"/>
      <c r="F1" s="296"/>
      <c r="G1" s="297"/>
      <c r="J1" s="293" t="s">
        <v>130</v>
      </c>
      <c r="K1" s="294"/>
    </row>
    <row r="2" spans="1:11" ht="15.75" thickBot="1" x14ac:dyDescent="0.3">
      <c r="A2" s="4" t="s">
        <v>115</v>
      </c>
      <c r="B2" s="23">
        <v>21</v>
      </c>
      <c r="C2" s="2">
        <v>22</v>
      </c>
      <c r="D2" s="2">
        <v>23</v>
      </c>
      <c r="E2" s="2">
        <v>24</v>
      </c>
      <c r="F2" s="3">
        <v>25</v>
      </c>
      <c r="G2" s="4" t="s">
        <v>114</v>
      </c>
      <c r="J2" s="11" t="s">
        <v>129</v>
      </c>
      <c r="K2" s="31">
        <v>480</v>
      </c>
    </row>
    <row r="3" spans="1:11" x14ac:dyDescent="0.25">
      <c r="A3" s="5" t="s">
        <v>42</v>
      </c>
      <c r="B3" s="189">
        <v>146.137743</v>
      </c>
      <c r="C3" s="189">
        <v>145.7101945</v>
      </c>
      <c r="D3" s="189">
        <v>145.36815559999999</v>
      </c>
      <c r="E3" s="189">
        <v>145.09452450000001</v>
      </c>
      <c r="F3" s="189">
        <v>144.87561959999999</v>
      </c>
      <c r="G3" s="5" t="s">
        <v>34</v>
      </c>
      <c r="J3" s="11" t="s">
        <v>128</v>
      </c>
      <c r="K3" s="5">
        <v>5</v>
      </c>
    </row>
    <row r="4" spans="1:11" x14ac:dyDescent="0.25">
      <c r="A4" s="5" t="s">
        <v>109</v>
      </c>
      <c r="B4" s="193">
        <v>0</v>
      </c>
      <c r="C4" s="185">
        <f>B5</f>
        <v>0</v>
      </c>
      <c r="D4" s="185">
        <f>C5</f>
        <v>0</v>
      </c>
      <c r="E4" s="185">
        <f>D5</f>
        <v>0</v>
      </c>
      <c r="F4" s="195">
        <f>E5</f>
        <v>0</v>
      </c>
      <c r="G4" s="194" t="s">
        <v>34</v>
      </c>
      <c r="J4" s="11" t="s">
        <v>127</v>
      </c>
      <c r="K4" s="5">
        <v>52</v>
      </c>
    </row>
    <row r="5" spans="1:11" x14ac:dyDescent="0.25">
      <c r="A5" s="5" t="s">
        <v>107</v>
      </c>
      <c r="B5" s="193">
        <f>MAX(0,B4+B6-B3)</f>
        <v>0</v>
      </c>
      <c r="C5" s="185">
        <f>MAX(0,C4+C6-C3)</f>
        <v>0</v>
      </c>
      <c r="D5" s="185">
        <f>MAX(0,D4+D6-D3)</f>
        <v>0</v>
      </c>
      <c r="E5" s="185">
        <f>MAX(0,E4+E6-E3)</f>
        <v>0</v>
      </c>
      <c r="F5" s="185">
        <f>MAX(0,F4+F6-F3)</f>
        <v>0</v>
      </c>
      <c r="G5" s="194">
        <f>SUM(B5:F5)*$K$11</f>
        <v>0</v>
      </c>
      <c r="J5" s="11" t="s">
        <v>126</v>
      </c>
      <c r="K5" s="5">
        <v>30</v>
      </c>
    </row>
    <row r="6" spans="1:11" x14ac:dyDescent="0.25">
      <c r="A6" s="5" t="s">
        <v>102</v>
      </c>
      <c r="B6" s="193">
        <f>(B11)*$K$5</f>
        <v>146.137743</v>
      </c>
      <c r="C6" s="185">
        <f>(C11)*$K$5</f>
        <v>145.7101945</v>
      </c>
      <c r="D6" s="185">
        <f>(D11)*$K$5</f>
        <v>145.36815559999999</v>
      </c>
      <c r="E6" s="185">
        <f>(E11)*$K$5</f>
        <v>145.09452450000001</v>
      </c>
      <c r="F6" s="185">
        <f>(F11)*$K$5</f>
        <v>144.87561959999999</v>
      </c>
      <c r="G6" s="5">
        <f>SUM(B6:F6)*$K$10</f>
        <v>72718.623720000003</v>
      </c>
      <c r="J6" s="11" t="s">
        <v>125</v>
      </c>
      <c r="K6" s="5">
        <v>10</v>
      </c>
    </row>
    <row r="7" spans="1:11" x14ac:dyDescent="0.25">
      <c r="A7" s="5" t="s">
        <v>100</v>
      </c>
      <c r="B7" s="38">
        <f>(B10-B11)*$K$5</f>
        <v>3.8622569999999889</v>
      </c>
      <c r="C7" s="36">
        <f>(C10-C11)*$K$5</f>
        <v>4.2898054999999946</v>
      </c>
      <c r="D7" s="36">
        <f>(D10-D11)*$K$5</f>
        <v>4.6318444000000181</v>
      </c>
      <c r="E7" s="36">
        <f>(E10-E11)*$K$5</f>
        <v>4.9054754999999872</v>
      </c>
      <c r="F7" s="36">
        <f>(F10-F11)*$K$5</f>
        <v>5.1243804000000015</v>
      </c>
      <c r="G7" s="5">
        <f>SUM(B7:F7)*$K$7*$K$13</f>
        <v>3650.2020479999987</v>
      </c>
      <c r="J7" s="11" t="s">
        <v>124</v>
      </c>
      <c r="K7" s="5">
        <f>(K2*K3)/K5</f>
        <v>80</v>
      </c>
    </row>
    <row r="8" spans="1:11" ht="15.75" thickBot="1" x14ac:dyDescent="0.3">
      <c r="A8" s="5" t="s">
        <v>123</v>
      </c>
      <c r="B8" s="11">
        <v>0</v>
      </c>
      <c r="C8" s="7">
        <f>IF(C10-B10&lt;0,0,C10-B10)</f>
        <v>0</v>
      </c>
      <c r="D8" s="7">
        <f>IF(D10-C10&lt;0,0,D10-C10)</f>
        <v>0</v>
      </c>
      <c r="E8" s="7">
        <f>IF(E10-D10&lt;0,0,E10-D10)</f>
        <v>0</v>
      </c>
      <c r="F8" s="8">
        <f>IF(F10-E10&lt;0,0,F10-E10)</f>
        <v>0</v>
      </c>
      <c r="G8" s="5">
        <f>SUM(B8:F8)*$K$14</f>
        <v>0</v>
      </c>
      <c r="J8" s="11"/>
      <c r="K8" s="6"/>
    </row>
    <row r="9" spans="1:11" ht="15.75" thickBot="1" x14ac:dyDescent="0.3">
      <c r="A9" s="5" t="s">
        <v>105</v>
      </c>
      <c r="B9" s="11">
        <f>$K$6-B10</f>
        <v>5</v>
      </c>
      <c r="C9" s="7">
        <f>IF(B10-C10&lt;0,0,B10-C10)</f>
        <v>0</v>
      </c>
      <c r="D9" s="7">
        <f>IF(C10-D10&lt;0,0,C10-D10)</f>
        <v>0</v>
      </c>
      <c r="E9" s="7">
        <f>IF(D10-E10&lt;0,0,D10-E10)</f>
        <v>0</v>
      </c>
      <c r="F9" s="8">
        <f>IF(E10-F10&lt;0,0,E10-F10)</f>
        <v>0</v>
      </c>
      <c r="G9" s="5">
        <f>SUM(B9:F9)*$K$15</f>
        <v>125000</v>
      </c>
      <c r="J9" s="293" t="s">
        <v>122</v>
      </c>
      <c r="K9" s="294"/>
    </row>
    <row r="10" spans="1:11" x14ac:dyDescent="0.25">
      <c r="A10" s="5" t="s">
        <v>104</v>
      </c>
      <c r="B10" s="11">
        <f>ROUNDUP((B3-B4)/$K$5,0)</f>
        <v>5</v>
      </c>
      <c r="C10" s="7">
        <f>ROUNDUP((C3-C4)/$K$5,0)</f>
        <v>5</v>
      </c>
      <c r="D10" s="7">
        <f>ROUNDUP((D3-D4)/$K$5,0)</f>
        <v>5</v>
      </c>
      <c r="E10" s="7">
        <f>ROUNDUP((E3-E4)/$K$5,0)</f>
        <v>5</v>
      </c>
      <c r="F10" s="8">
        <f>ROUNDUP((F3-F4)/$K$5,0)</f>
        <v>5</v>
      </c>
      <c r="G10" s="5" t="s">
        <v>34</v>
      </c>
      <c r="J10" s="11" t="s">
        <v>121</v>
      </c>
      <c r="K10" s="31">
        <v>100</v>
      </c>
    </row>
    <row r="11" spans="1:11" ht="15.75" thickBot="1" x14ac:dyDescent="0.3">
      <c r="A11" s="6" t="s">
        <v>103</v>
      </c>
      <c r="B11" s="39">
        <f>(B3-B4)/$K$5</f>
        <v>4.8712581000000004</v>
      </c>
      <c r="C11" s="40">
        <f>(C3-C4)/$K$5</f>
        <v>4.8570064833333335</v>
      </c>
      <c r="D11" s="40">
        <f>(D3-D4)/$K$5</f>
        <v>4.8456051866666661</v>
      </c>
      <c r="E11" s="40">
        <f>(E3-E4)/$K$5</f>
        <v>4.8364841500000004</v>
      </c>
      <c r="F11" s="33">
        <f>(F3-F4)/$K$5</f>
        <v>4.8291873199999999</v>
      </c>
      <c r="G11" s="6" t="s">
        <v>34</v>
      </c>
      <c r="J11" s="11" t="s">
        <v>120</v>
      </c>
      <c r="K11" s="5">
        <v>15</v>
      </c>
    </row>
    <row r="12" spans="1:11" ht="15.75" thickBot="1" x14ac:dyDescent="0.3">
      <c r="A12" s="290" t="s">
        <v>99</v>
      </c>
      <c r="B12" s="291"/>
      <c r="C12" s="291"/>
      <c r="D12" s="291"/>
      <c r="E12" s="291"/>
      <c r="F12" s="292"/>
      <c r="G12" s="181">
        <f>SUM(G3:G11)</f>
        <v>201368.82576799998</v>
      </c>
      <c r="J12" s="11" t="s">
        <v>119</v>
      </c>
      <c r="K12" s="5">
        <v>25</v>
      </c>
    </row>
    <row r="13" spans="1:11" ht="15.75" thickBot="1" x14ac:dyDescent="0.3">
      <c r="A13" s="192"/>
      <c r="B13" s="191"/>
      <c r="C13" s="191"/>
      <c r="D13" s="191"/>
      <c r="E13" s="191"/>
      <c r="F13" s="191"/>
      <c r="G13" s="190"/>
      <c r="J13" s="11" t="s">
        <v>118</v>
      </c>
      <c r="K13" s="5">
        <v>2</v>
      </c>
    </row>
    <row r="14" spans="1:11" ht="15.75" thickBot="1" x14ac:dyDescent="0.3">
      <c r="A14" s="295" t="s">
        <v>117</v>
      </c>
      <c r="B14" s="296"/>
      <c r="C14" s="296"/>
      <c r="D14" s="296"/>
      <c r="E14" s="296"/>
      <c r="F14" s="296"/>
      <c r="G14" s="297"/>
      <c r="J14" s="11" t="s">
        <v>116</v>
      </c>
      <c r="K14" s="5">
        <v>12000</v>
      </c>
    </row>
    <row r="15" spans="1:11" ht="15.75" thickBot="1" x14ac:dyDescent="0.3">
      <c r="A15" s="11" t="s">
        <v>115</v>
      </c>
      <c r="B15" s="45">
        <v>21</v>
      </c>
      <c r="C15" s="82">
        <v>22</v>
      </c>
      <c r="D15" s="82">
        <v>23</v>
      </c>
      <c r="E15" s="82">
        <v>24</v>
      </c>
      <c r="F15" s="90">
        <v>25</v>
      </c>
      <c r="G15" s="4" t="s">
        <v>114</v>
      </c>
      <c r="J15" s="11" t="s">
        <v>113</v>
      </c>
      <c r="K15" s="5">
        <v>25000</v>
      </c>
    </row>
    <row r="16" spans="1:11" x14ac:dyDescent="0.25">
      <c r="A16" s="31" t="s">
        <v>112</v>
      </c>
      <c r="B16" s="189">
        <v>146.137743</v>
      </c>
      <c r="C16" s="189">
        <v>145.7101945</v>
      </c>
      <c r="D16" s="189">
        <v>145.36815559999999</v>
      </c>
      <c r="E16" s="189">
        <v>145.09452450000001</v>
      </c>
      <c r="F16" s="189">
        <v>144.87561959999999</v>
      </c>
      <c r="G16" s="188" t="s">
        <v>34</v>
      </c>
      <c r="J16" s="11"/>
      <c r="K16" s="5"/>
    </row>
    <row r="17" spans="1:11" x14ac:dyDescent="0.25">
      <c r="A17" s="5" t="s">
        <v>111</v>
      </c>
      <c r="B17" s="185">
        <f>B16</f>
        <v>146.137743</v>
      </c>
      <c r="C17" s="185">
        <f>C16+B25</f>
        <v>146.41069005999998</v>
      </c>
      <c r="D17" s="185">
        <f>D16+C25</f>
        <v>146.34159821999995</v>
      </c>
      <c r="E17" s="185">
        <f>E16+D25</f>
        <v>145.99887527999994</v>
      </c>
      <c r="F17" s="185">
        <f>F16+E25</f>
        <v>145.43724743999991</v>
      </c>
      <c r="G17" s="184" t="s">
        <v>34</v>
      </c>
      <c r="J17" s="11" t="s">
        <v>110</v>
      </c>
      <c r="K17" s="5"/>
    </row>
    <row r="18" spans="1:11" ht="15.75" thickBot="1" x14ac:dyDescent="0.3">
      <c r="A18" s="5" t="s">
        <v>109</v>
      </c>
      <c r="B18" s="185">
        <v>0</v>
      </c>
      <c r="C18" s="185">
        <f>B19</f>
        <v>0</v>
      </c>
      <c r="D18" s="185">
        <v>0</v>
      </c>
      <c r="E18" s="185">
        <v>0</v>
      </c>
      <c r="F18" s="185">
        <v>0</v>
      </c>
      <c r="G18" s="184" t="s">
        <v>34</v>
      </c>
      <c r="J18" s="27" t="s">
        <v>108</v>
      </c>
      <c r="K18" s="6"/>
    </row>
    <row r="19" spans="1:11" x14ac:dyDescent="0.25">
      <c r="A19" s="5" t="s">
        <v>107</v>
      </c>
      <c r="B19" s="185">
        <f>MAX(0,B18+B24-B16)</f>
        <v>0</v>
      </c>
      <c r="C19" s="185">
        <f>MAX(0,C18+C24-C17)</f>
        <v>0</v>
      </c>
      <c r="D19" s="185">
        <f>MAX(0,D18+D24-D17)</f>
        <v>0</v>
      </c>
      <c r="E19" s="185">
        <f>MAX(0,E18+E24-E17)</f>
        <v>0</v>
      </c>
      <c r="F19" s="185">
        <f>MAX(0,F18+F24-F17)</f>
        <v>1.1368683772161603E-13</v>
      </c>
      <c r="G19" s="184">
        <f>SUM(B19:F19)*$K$11</f>
        <v>1.7053025658242404E-12</v>
      </c>
    </row>
    <row r="20" spans="1:11" x14ac:dyDescent="0.25">
      <c r="A20" s="5" t="s">
        <v>106</v>
      </c>
      <c r="B20" s="185">
        <f>SUM($B$16:$F$16)/5</f>
        <v>145.43724744000002</v>
      </c>
      <c r="C20" s="185">
        <f>SUM($B$16:$F$16)/5</f>
        <v>145.43724744000002</v>
      </c>
      <c r="D20" s="185">
        <f>SUM($B$16:$F$16)/5</f>
        <v>145.43724744000002</v>
      </c>
      <c r="E20" s="185">
        <f>SUM($B$16:$F$16)/5</f>
        <v>145.43724744000002</v>
      </c>
      <c r="F20" s="185">
        <f>SUM($B$16:$F$16)/5</f>
        <v>145.43724744000002</v>
      </c>
      <c r="G20" s="184" t="s">
        <v>34</v>
      </c>
    </row>
    <row r="21" spans="1:11" x14ac:dyDescent="0.25">
      <c r="A21" s="5" t="s">
        <v>105</v>
      </c>
      <c r="B21" s="185">
        <f>K6-B22</f>
        <v>5</v>
      </c>
      <c r="C21" s="185">
        <v>0</v>
      </c>
      <c r="D21" s="185">
        <v>0</v>
      </c>
      <c r="E21" s="185">
        <v>0</v>
      </c>
      <c r="F21" s="185">
        <v>0</v>
      </c>
      <c r="G21" s="184">
        <f>SUM(B21:F21)*$K$15</f>
        <v>125000</v>
      </c>
      <c r="I21" s="187"/>
    </row>
    <row r="22" spans="1:11" x14ac:dyDescent="0.25">
      <c r="A22" s="5" t="s">
        <v>104</v>
      </c>
      <c r="B22" s="185">
        <f>ROUNDUP(B23,0)</f>
        <v>5</v>
      </c>
      <c r="C22" s="185">
        <f>B22</f>
        <v>5</v>
      </c>
      <c r="D22" s="185">
        <f>C22</f>
        <v>5</v>
      </c>
      <c r="E22" s="185">
        <f>D22</f>
        <v>5</v>
      </c>
      <c r="F22" s="185">
        <f>E22</f>
        <v>5</v>
      </c>
      <c r="G22" s="184" t="s">
        <v>34</v>
      </c>
    </row>
    <row r="23" spans="1:11" x14ac:dyDescent="0.25">
      <c r="A23" s="5" t="s">
        <v>103</v>
      </c>
      <c r="B23" s="186">
        <f>$B$20/$K$5</f>
        <v>4.8479082480000004</v>
      </c>
      <c r="C23" s="186">
        <f>$B$20/$K$5</f>
        <v>4.8479082480000004</v>
      </c>
      <c r="D23" s="186">
        <f>$B$20/$K$5</f>
        <v>4.8479082480000004</v>
      </c>
      <c r="E23" s="186">
        <f>$B$20/$K$5</f>
        <v>4.8479082480000004</v>
      </c>
      <c r="F23" s="186">
        <f>$B$20/$K$5</f>
        <v>4.8479082480000004</v>
      </c>
      <c r="G23" s="184" t="s">
        <v>34</v>
      </c>
    </row>
    <row r="24" spans="1:11" x14ac:dyDescent="0.25">
      <c r="A24" s="5" t="s">
        <v>102</v>
      </c>
      <c r="B24" s="185">
        <f>B23*$K$5</f>
        <v>145.43724744000002</v>
      </c>
      <c r="C24" s="185">
        <f>C23*$K$5</f>
        <v>145.43724744000002</v>
      </c>
      <c r="D24" s="185">
        <f>D23*$K$5</f>
        <v>145.43724744000002</v>
      </c>
      <c r="E24" s="185">
        <f>E23*$K$5</f>
        <v>145.43724744000002</v>
      </c>
      <c r="F24" s="185">
        <f>F23*$K$5</f>
        <v>145.43724744000002</v>
      </c>
      <c r="G24" s="184">
        <f>SUM(B24:F24)*$K$10</f>
        <v>72718.623720000003</v>
      </c>
    </row>
    <row r="25" spans="1:11" x14ac:dyDescent="0.25">
      <c r="A25" s="5" t="s">
        <v>101</v>
      </c>
      <c r="B25" s="185">
        <f>MAX(0,B16-B24-B18)</f>
        <v>0.70049555999997892</v>
      </c>
      <c r="C25" s="185">
        <f>MAX(0,C17-C24-C18)</f>
        <v>0.97344261999995751</v>
      </c>
      <c r="D25" s="185">
        <f>MAX(0,D17-D24-D18)</f>
        <v>0.90435077999993041</v>
      </c>
      <c r="E25" s="185">
        <f>MAX(0,E17-E24-E18)</f>
        <v>0.56162783999991461</v>
      </c>
      <c r="F25" s="185">
        <f>MAX(0,F17-F24-F18)</f>
        <v>0</v>
      </c>
      <c r="G25" s="184">
        <f>SUM(B25:F25)*$K$12</f>
        <v>78.497919999994537</v>
      </c>
    </row>
    <row r="26" spans="1:11" ht="15.75" thickBot="1" x14ac:dyDescent="0.3">
      <c r="A26" s="6" t="s">
        <v>100</v>
      </c>
      <c r="B26" s="183">
        <f>(B22-B23)*$K$5</f>
        <v>4.5627525599999874</v>
      </c>
      <c r="C26" s="183">
        <f>(C22-C23)*$K$5</f>
        <v>4.5627525599999874</v>
      </c>
      <c r="D26" s="183">
        <f>(D22-D23)*$K$5</f>
        <v>4.5627525599999874</v>
      </c>
      <c r="E26" s="183">
        <f>(E22-E23)*$K$5</f>
        <v>4.5627525599999874</v>
      </c>
      <c r="F26" s="183">
        <f>(F22-F23)*$K$5</f>
        <v>4.5627525599999874</v>
      </c>
      <c r="G26" s="182">
        <f>SUM(B26:F26)*$K$13*$K$7</f>
        <v>3650.2020479999896</v>
      </c>
    </row>
    <row r="27" spans="1:11" ht="15.75" thickBot="1" x14ac:dyDescent="0.3">
      <c r="A27" s="290" t="s">
        <v>99</v>
      </c>
      <c r="B27" s="291"/>
      <c r="C27" s="291"/>
      <c r="D27" s="291"/>
      <c r="E27" s="291"/>
      <c r="F27" s="292"/>
      <c r="G27" s="181">
        <f>SUM(G18:G26)</f>
        <v>201447.32368799997</v>
      </c>
    </row>
  </sheetData>
  <mergeCells count="6">
    <mergeCell ref="A27:F27"/>
    <mergeCell ref="J9:K9"/>
    <mergeCell ref="J1:K1"/>
    <mergeCell ref="A1:G1"/>
    <mergeCell ref="A12:F12"/>
    <mergeCell ref="A14:G14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5EED-BAB3-46B2-937F-8A4B19475058}">
  <dimension ref="A1:K27"/>
  <sheetViews>
    <sheetView zoomScale="85" zoomScaleNormal="85" workbookViewId="0">
      <selection activeCell="I21" sqref="I21:I22"/>
    </sheetView>
  </sheetViews>
  <sheetFormatPr defaultRowHeight="15" x14ac:dyDescent="0.25"/>
  <cols>
    <col min="1" max="1" width="25.5703125" style="1" bestFit="1" customWidth="1"/>
    <col min="2" max="6" width="9.140625" style="1"/>
    <col min="7" max="7" width="14.5703125" style="1" bestFit="1" customWidth="1"/>
    <col min="8" max="9" width="9.140625" style="1"/>
    <col min="10" max="10" width="58.140625" style="1" bestFit="1" customWidth="1"/>
    <col min="11" max="16384" width="9.140625" style="1"/>
  </cols>
  <sheetData>
    <row r="1" spans="1:11" ht="15.75" thickBot="1" x14ac:dyDescent="0.3">
      <c r="A1" s="295" t="s">
        <v>131</v>
      </c>
      <c r="B1" s="296"/>
      <c r="C1" s="296"/>
      <c r="D1" s="296"/>
      <c r="E1" s="296"/>
      <c r="F1" s="296"/>
      <c r="G1" s="297"/>
      <c r="J1" s="293" t="s">
        <v>130</v>
      </c>
      <c r="K1" s="294"/>
    </row>
    <row r="2" spans="1:11" ht="15.75" thickBot="1" x14ac:dyDescent="0.3">
      <c r="A2" s="4" t="s">
        <v>115</v>
      </c>
      <c r="B2" s="23">
        <v>21</v>
      </c>
      <c r="C2" s="2">
        <v>22</v>
      </c>
      <c r="D2" s="2">
        <v>23</v>
      </c>
      <c r="E2" s="2">
        <v>24</v>
      </c>
      <c r="F2" s="3">
        <v>25</v>
      </c>
      <c r="G2" s="4" t="s">
        <v>114</v>
      </c>
      <c r="J2" s="11" t="s">
        <v>129</v>
      </c>
      <c r="K2" s="31">
        <v>480</v>
      </c>
    </row>
    <row r="3" spans="1:11" x14ac:dyDescent="0.25">
      <c r="A3" s="5" t="s">
        <v>42</v>
      </c>
      <c r="B3" s="189">
        <v>175.63357359388553</v>
      </c>
      <c r="C3" s="189">
        <v>191.4468965319258</v>
      </c>
      <c r="D3" s="189">
        <v>205.9499413702824</v>
      </c>
      <c r="E3" s="189">
        <v>190.17706050483682</v>
      </c>
      <c r="F3" s="189">
        <v>155.43767477620545</v>
      </c>
      <c r="G3" s="5" t="s">
        <v>34</v>
      </c>
      <c r="J3" s="11" t="s">
        <v>128</v>
      </c>
      <c r="K3" s="5">
        <v>5</v>
      </c>
    </row>
    <row r="4" spans="1:11" x14ac:dyDescent="0.25">
      <c r="A4" s="5" t="s">
        <v>109</v>
      </c>
      <c r="B4" s="193">
        <v>0</v>
      </c>
      <c r="C4" s="185">
        <f>B5</f>
        <v>0</v>
      </c>
      <c r="D4" s="185">
        <f>C5</f>
        <v>0</v>
      </c>
      <c r="E4" s="185">
        <f>D5</f>
        <v>0</v>
      </c>
      <c r="F4" s="195">
        <f>E5</f>
        <v>0</v>
      </c>
      <c r="G4" s="194" t="s">
        <v>34</v>
      </c>
      <c r="J4" s="11" t="s">
        <v>127</v>
      </c>
      <c r="K4" s="5">
        <v>52</v>
      </c>
    </row>
    <row r="5" spans="1:11" x14ac:dyDescent="0.25">
      <c r="A5" s="5" t="s">
        <v>107</v>
      </c>
      <c r="B5" s="193">
        <f>MAX(0,B4+B6-B3)</f>
        <v>0</v>
      </c>
      <c r="C5" s="185">
        <f>MAX(0,C4+C6-C3)</f>
        <v>0</v>
      </c>
      <c r="D5" s="185">
        <f>MAX(0,D4+D6-D3)</f>
        <v>0</v>
      </c>
      <c r="E5" s="185">
        <f>MAX(0,E4+E6-E3)</f>
        <v>0</v>
      </c>
      <c r="F5" s="185">
        <f>MAX(0,F4+F6-F3)</f>
        <v>0</v>
      </c>
      <c r="G5" s="194">
        <f>SUM(B5:F5)*$K$11</f>
        <v>0</v>
      </c>
      <c r="J5" s="11" t="s">
        <v>126</v>
      </c>
      <c r="K5" s="5">
        <v>30</v>
      </c>
    </row>
    <row r="6" spans="1:11" x14ac:dyDescent="0.25">
      <c r="A6" s="5" t="s">
        <v>102</v>
      </c>
      <c r="B6" s="193">
        <f>(B11)*$K$5</f>
        <v>175.63357359388553</v>
      </c>
      <c r="C6" s="185">
        <f>(C11)*$K$5</f>
        <v>191.4468965319258</v>
      </c>
      <c r="D6" s="185">
        <f>(D11)*$K$5</f>
        <v>205.9499413702824</v>
      </c>
      <c r="E6" s="185">
        <f>(E11)*$K$5</f>
        <v>190.17706050483682</v>
      </c>
      <c r="F6" s="185">
        <f>(F11)*$K$5</f>
        <v>155.43767477620545</v>
      </c>
      <c r="G6" s="5">
        <f>SUM(B6:F6)*$K$10</f>
        <v>73491.611742170877</v>
      </c>
      <c r="J6" s="11" t="s">
        <v>125</v>
      </c>
      <c r="K6" s="5">
        <v>10</v>
      </c>
    </row>
    <row r="7" spans="1:11" x14ac:dyDescent="0.25">
      <c r="A7" s="5" t="s">
        <v>100</v>
      </c>
      <c r="B7" s="38">
        <f>(B10-B11)*$K$5</f>
        <v>4.3664264061144831</v>
      </c>
      <c r="C7" s="36">
        <f>(C10-C11)*$K$5</f>
        <v>18.553103468074205</v>
      </c>
      <c r="D7" s="36">
        <f>(D10-D11)*$K$5</f>
        <v>4.0500586297176078</v>
      </c>
      <c r="E7" s="36">
        <f>(E10-E11)*$K$5</f>
        <v>19.822939495163176</v>
      </c>
      <c r="F7" s="36">
        <f>(F10-F11)*$K$5</f>
        <v>24.562325223794534</v>
      </c>
      <c r="G7" s="5">
        <f>SUM(B7:F7)*$K$7*$K$13</f>
        <v>11416.776515658241</v>
      </c>
      <c r="J7" s="11" t="s">
        <v>124</v>
      </c>
      <c r="K7" s="5">
        <f>(K2*K3)/K5</f>
        <v>80</v>
      </c>
    </row>
    <row r="8" spans="1:11" ht="15.75" thickBot="1" x14ac:dyDescent="0.3">
      <c r="A8" s="5" t="s">
        <v>123</v>
      </c>
      <c r="B8" s="11">
        <v>0</v>
      </c>
      <c r="C8" s="7">
        <f>IF(C10-B10&lt;0,0,C10-B10)</f>
        <v>1</v>
      </c>
      <c r="D8" s="7">
        <f>IF(D10-C10&lt;0,0,D10-C10)</f>
        <v>0</v>
      </c>
      <c r="E8" s="7">
        <f>IF(E10-D10&lt;0,0,E10-D10)</f>
        <v>0</v>
      </c>
      <c r="F8" s="8">
        <f>IF(F10-E10&lt;0,0,F10-E10)</f>
        <v>0</v>
      </c>
      <c r="G8" s="5">
        <f>SUM(B8:F8)*$K$14</f>
        <v>12000</v>
      </c>
      <c r="J8" s="11"/>
      <c r="K8" s="6"/>
    </row>
    <row r="9" spans="1:11" ht="15.75" thickBot="1" x14ac:dyDescent="0.3">
      <c r="A9" s="5" t="s">
        <v>105</v>
      </c>
      <c r="B9" s="11">
        <f>$K$6-B10</f>
        <v>4</v>
      </c>
      <c r="C9" s="7">
        <f>IF(B10-C10&lt;0,0,B10-C10)</f>
        <v>0</v>
      </c>
      <c r="D9" s="7">
        <f>IF(C10-D10&lt;0,0,C10-D10)</f>
        <v>0</v>
      </c>
      <c r="E9" s="7">
        <f>IF(D10-E10&lt;0,0,D10-E10)</f>
        <v>0</v>
      </c>
      <c r="F9" s="8">
        <f>IF(E10-F10&lt;0,0,E10-F10)</f>
        <v>1</v>
      </c>
      <c r="G9" s="5">
        <f>SUM(B9:F9)*$K$15</f>
        <v>125000</v>
      </c>
      <c r="J9" s="293" t="s">
        <v>122</v>
      </c>
      <c r="K9" s="294"/>
    </row>
    <row r="10" spans="1:11" x14ac:dyDescent="0.25">
      <c r="A10" s="5" t="s">
        <v>104</v>
      </c>
      <c r="B10" s="11">
        <f>ROUNDUP((B3-B4)/$K$5,0)</f>
        <v>6</v>
      </c>
      <c r="C10" s="7">
        <f>ROUNDUP((C3-C4)/$K$5,0)</f>
        <v>7</v>
      </c>
      <c r="D10" s="7">
        <f>ROUNDUP((D3-D4)/$K$5,0)</f>
        <v>7</v>
      </c>
      <c r="E10" s="7">
        <f>ROUNDUP((E3-E4)/$K$5,0)</f>
        <v>7</v>
      </c>
      <c r="F10" s="8">
        <f>ROUNDUP((F3-F4)/$K$5,0)</f>
        <v>6</v>
      </c>
      <c r="G10" s="5" t="s">
        <v>34</v>
      </c>
      <c r="J10" s="11" t="s">
        <v>121</v>
      </c>
      <c r="K10" s="31">
        <v>80</v>
      </c>
    </row>
    <row r="11" spans="1:11" ht="15.75" thickBot="1" x14ac:dyDescent="0.3">
      <c r="A11" s="6" t="s">
        <v>103</v>
      </c>
      <c r="B11" s="39">
        <f>(B3-B4)/$K$5</f>
        <v>5.8544524531295172</v>
      </c>
      <c r="C11" s="40">
        <f>(C3-C4)/$K$5</f>
        <v>6.3815632177308599</v>
      </c>
      <c r="D11" s="40">
        <f>(D3-D4)/$K$5</f>
        <v>6.8649980456760797</v>
      </c>
      <c r="E11" s="40">
        <f>(E3-E4)/$K$5</f>
        <v>6.3392353501612275</v>
      </c>
      <c r="F11" s="33">
        <f>(F3-F4)/$K$5</f>
        <v>5.1812558258735155</v>
      </c>
      <c r="G11" s="6" t="s">
        <v>34</v>
      </c>
      <c r="J11" s="11" t="s">
        <v>120</v>
      </c>
      <c r="K11" s="5">
        <v>12</v>
      </c>
    </row>
    <row r="12" spans="1:11" ht="15.75" thickBot="1" x14ac:dyDescent="0.3">
      <c r="A12" s="290" t="s">
        <v>99</v>
      </c>
      <c r="B12" s="291"/>
      <c r="C12" s="291"/>
      <c r="D12" s="291"/>
      <c r="E12" s="291"/>
      <c r="F12" s="292"/>
      <c r="G12" s="181">
        <f>SUM(G3:G11)</f>
        <v>221908.38825782912</v>
      </c>
      <c r="J12" s="11" t="s">
        <v>119</v>
      </c>
      <c r="K12" s="5">
        <v>18</v>
      </c>
    </row>
    <row r="13" spans="1:11" ht="15.75" thickBot="1" x14ac:dyDescent="0.3">
      <c r="A13" s="197"/>
      <c r="B13" s="196"/>
      <c r="C13" s="196"/>
      <c r="D13" s="196"/>
      <c r="E13" s="196"/>
      <c r="F13" s="196"/>
      <c r="G13" s="3"/>
      <c r="J13" s="11" t="s">
        <v>118</v>
      </c>
      <c r="K13" s="5">
        <v>2</v>
      </c>
    </row>
    <row r="14" spans="1:11" ht="15.75" thickBot="1" x14ac:dyDescent="0.3">
      <c r="A14" s="295" t="s">
        <v>117</v>
      </c>
      <c r="B14" s="296"/>
      <c r="C14" s="296"/>
      <c r="D14" s="296"/>
      <c r="E14" s="296"/>
      <c r="F14" s="296"/>
      <c r="G14" s="297"/>
      <c r="J14" s="11" t="s">
        <v>116</v>
      </c>
      <c r="K14" s="5">
        <v>12000</v>
      </c>
    </row>
    <row r="15" spans="1:11" ht="15.75" thickBot="1" x14ac:dyDescent="0.3">
      <c r="A15" s="11" t="s">
        <v>115</v>
      </c>
      <c r="B15" s="45">
        <v>21</v>
      </c>
      <c r="C15" s="82">
        <v>22</v>
      </c>
      <c r="D15" s="82">
        <v>23</v>
      </c>
      <c r="E15" s="82">
        <v>24</v>
      </c>
      <c r="F15" s="90">
        <v>25</v>
      </c>
      <c r="G15" s="4" t="s">
        <v>114</v>
      </c>
      <c r="J15" s="11" t="s">
        <v>113</v>
      </c>
      <c r="K15" s="5">
        <v>25000</v>
      </c>
    </row>
    <row r="16" spans="1:11" x14ac:dyDescent="0.25">
      <c r="A16" s="31" t="s">
        <v>112</v>
      </c>
      <c r="B16" s="189">
        <v>175.63357359388553</v>
      </c>
      <c r="C16" s="189">
        <v>191.4468965319258</v>
      </c>
      <c r="D16" s="189">
        <v>205.9499413702824</v>
      </c>
      <c r="E16" s="189">
        <v>190.17706050483682</v>
      </c>
      <c r="F16" s="189">
        <v>155.43767477620545</v>
      </c>
      <c r="G16" s="188" t="s">
        <v>34</v>
      </c>
      <c r="J16" s="11"/>
      <c r="K16" s="5"/>
    </row>
    <row r="17" spans="1:11" x14ac:dyDescent="0.25">
      <c r="A17" s="5" t="s">
        <v>111</v>
      </c>
      <c r="B17" s="185">
        <f>B16</f>
        <v>175.63357359388553</v>
      </c>
      <c r="C17" s="185">
        <f>C16+B25</f>
        <v>191.4468965319258</v>
      </c>
      <c r="D17" s="185">
        <f>D16+C25</f>
        <v>205.9499413702824</v>
      </c>
      <c r="E17" s="185">
        <f>E16+D25</f>
        <v>212.39797251969202</v>
      </c>
      <c r="F17" s="185">
        <f>F16+E25</f>
        <v>184.10661794047027</v>
      </c>
      <c r="G17" s="184" t="s">
        <v>34</v>
      </c>
      <c r="J17" s="11" t="s">
        <v>110</v>
      </c>
      <c r="K17" s="5"/>
    </row>
    <row r="18" spans="1:11" ht="15.75" thickBot="1" x14ac:dyDescent="0.3">
      <c r="A18" s="5" t="s">
        <v>109</v>
      </c>
      <c r="B18" s="185">
        <v>0</v>
      </c>
      <c r="C18" s="185">
        <f>B19</f>
        <v>8.0954557615416718</v>
      </c>
      <c r="D18" s="185">
        <v>0</v>
      </c>
      <c r="E18" s="185">
        <v>0</v>
      </c>
      <c r="F18" s="185">
        <v>0</v>
      </c>
      <c r="G18" s="184" t="s">
        <v>34</v>
      </c>
      <c r="J18" s="27" t="s">
        <v>108</v>
      </c>
      <c r="K18" s="6"/>
    </row>
    <row r="19" spans="1:11" x14ac:dyDescent="0.25">
      <c r="A19" s="5" t="s">
        <v>107</v>
      </c>
      <c r="B19" s="185">
        <f>MAX(0,B18+B24-B16)</f>
        <v>8.0954557615416718</v>
      </c>
      <c r="C19" s="185">
        <f>MAX(0,C18+C24-C17)</f>
        <v>0.37758858504307113</v>
      </c>
      <c r="D19" s="185">
        <f>MAX(0,D18+D24-D17)</f>
        <v>0</v>
      </c>
      <c r="E19" s="185">
        <f>MAX(0,E18+E24-E17)</f>
        <v>0</v>
      </c>
      <c r="F19" s="185">
        <f>MAX(0,F18+F24-F17)</f>
        <v>0</v>
      </c>
      <c r="G19" s="184">
        <f>SUM(B19:F19)*$K$11</f>
        <v>101.67653215901692</v>
      </c>
    </row>
    <row r="20" spans="1:11" x14ac:dyDescent="0.25">
      <c r="A20" s="5" t="s">
        <v>106</v>
      </c>
      <c r="B20" s="185">
        <f>SUM($B$16:$F$16)/5</f>
        <v>183.7290293554272</v>
      </c>
      <c r="C20" s="185">
        <f>SUM($B$16:$F$16)/5</f>
        <v>183.7290293554272</v>
      </c>
      <c r="D20" s="185">
        <f>SUM($B$16:$F$16)/5</f>
        <v>183.7290293554272</v>
      </c>
      <c r="E20" s="185">
        <f>SUM($B$16:$F$16)/5</f>
        <v>183.7290293554272</v>
      </c>
      <c r="F20" s="185">
        <f>SUM($B$16:$F$16)/5</f>
        <v>183.7290293554272</v>
      </c>
      <c r="G20" s="184" t="s">
        <v>34</v>
      </c>
    </row>
    <row r="21" spans="1:11" x14ac:dyDescent="0.25">
      <c r="A21" s="5" t="s">
        <v>105</v>
      </c>
      <c r="B21" s="185">
        <f>K6-B22</f>
        <v>3</v>
      </c>
      <c r="C21" s="185">
        <v>0</v>
      </c>
      <c r="D21" s="185">
        <v>0</v>
      </c>
      <c r="E21" s="185">
        <v>0</v>
      </c>
      <c r="F21" s="185">
        <v>0</v>
      </c>
      <c r="G21" s="184">
        <f>SUM(B21:F21)*$K$15</f>
        <v>75000</v>
      </c>
      <c r="I21" s="187"/>
    </row>
    <row r="22" spans="1:11" x14ac:dyDescent="0.25">
      <c r="A22" s="5" t="s">
        <v>104</v>
      </c>
      <c r="B22" s="185">
        <f>ROUNDUP(B23,0)</f>
        <v>7</v>
      </c>
      <c r="C22" s="185">
        <f>B22</f>
        <v>7</v>
      </c>
      <c r="D22" s="185">
        <f>C22</f>
        <v>7</v>
      </c>
      <c r="E22" s="185">
        <f>D22</f>
        <v>7</v>
      </c>
      <c r="F22" s="185">
        <f>E22</f>
        <v>7</v>
      </c>
      <c r="G22" s="184" t="s">
        <v>34</v>
      </c>
    </row>
    <row r="23" spans="1:11" x14ac:dyDescent="0.25">
      <c r="A23" s="5" t="s">
        <v>103</v>
      </c>
      <c r="B23" s="186">
        <f>$B$20/$K$5</f>
        <v>6.1243009785142402</v>
      </c>
      <c r="C23" s="186">
        <f>$B$20/$K$5</f>
        <v>6.1243009785142402</v>
      </c>
      <c r="D23" s="186">
        <f>$B$20/$K$5</f>
        <v>6.1243009785142402</v>
      </c>
      <c r="E23" s="186">
        <f>$B$20/$K$5</f>
        <v>6.1243009785142402</v>
      </c>
      <c r="F23" s="186">
        <f>$B$20/$K$5</f>
        <v>6.1243009785142402</v>
      </c>
      <c r="G23" s="184" t="s">
        <v>34</v>
      </c>
    </row>
    <row r="24" spans="1:11" x14ac:dyDescent="0.25">
      <c r="A24" s="5" t="s">
        <v>102</v>
      </c>
      <c r="B24" s="185">
        <f>B23*$K$5</f>
        <v>183.7290293554272</v>
      </c>
      <c r="C24" s="185">
        <f>C23*$K$5</f>
        <v>183.7290293554272</v>
      </c>
      <c r="D24" s="185">
        <f>D23*$K$5</f>
        <v>183.7290293554272</v>
      </c>
      <c r="E24" s="185">
        <f>E23*$K$5</f>
        <v>183.7290293554272</v>
      </c>
      <c r="F24" s="185">
        <f>F23*$K$5</f>
        <v>183.7290293554272</v>
      </c>
      <c r="G24" s="184">
        <f>SUM(B24:F24)*$K$10</f>
        <v>73491.611742170877</v>
      </c>
    </row>
    <row r="25" spans="1:11" x14ac:dyDescent="0.25">
      <c r="A25" s="5" t="s">
        <v>101</v>
      </c>
      <c r="B25" s="185">
        <f>MAX(0,B16-B24-B18)</f>
        <v>0</v>
      </c>
      <c r="C25" s="185">
        <f>MAX(0,C17-C24-C18)</f>
        <v>0</v>
      </c>
      <c r="D25" s="185">
        <f>MAX(0,D17-D24-D18)</f>
        <v>22.220912014855202</v>
      </c>
      <c r="E25" s="185">
        <f>MAX(0,E17-E24-E18)</f>
        <v>28.668943164264817</v>
      </c>
      <c r="F25" s="185">
        <f>MAX(0,F17-F24-F18)</f>
        <v>0.37758858504307113</v>
      </c>
      <c r="G25" s="184">
        <f>SUM(B25:F25)*$K$12</f>
        <v>922.81398775493562</v>
      </c>
    </row>
    <row r="26" spans="1:11" ht="15.75" thickBot="1" x14ac:dyDescent="0.3">
      <c r="A26" s="6" t="s">
        <v>100</v>
      </c>
      <c r="B26" s="183">
        <f>(B22-B23)*$K$5</f>
        <v>26.270970644572795</v>
      </c>
      <c r="C26" s="183">
        <f>(C22-C23)*$K$5</f>
        <v>26.270970644572795</v>
      </c>
      <c r="D26" s="183">
        <f>(D22-D23)*$K$5</f>
        <v>26.270970644572795</v>
      </c>
      <c r="E26" s="183">
        <f>(E22-E23)*$K$5</f>
        <v>26.270970644572795</v>
      </c>
      <c r="F26" s="183">
        <f>(F22-F23)*$K$5</f>
        <v>26.270970644572795</v>
      </c>
      <c r="G26" s="182">
        <f>SUM(B26:F26)*$K$13*$K$7</f>
        <v>21016.776515658235</v>
      </c>
    </row>
    <row r="27" spans="1:11" ht="15.75" thickBot="1" x14ac:dyDescent="0.3">
      <c r="A27" s="290" t="s">
        <v>99</v>
      </c>
      <c r="B27" s="291"/>
      <c r="C27" s="291"/>
      <c r="D27" s="291"/>
      <c r="E27" s="291"/>
      <c r="F27" s="292"/>
      <c r="G27" s="181">
        <f>SUM(G18:G26)</f>
        <v>170532.87877774308</v>
      </c>
    </row>
  </sheetData>
  <mergeCells count="6">
    <mergeCell ref="A27:F27"/>
    <mergeCell ref="A1:G1"/>
    <mergeCell ref="J1:K1"/>
    <mergeCell ref="J9:K9"/>
    <mergeCell ref="A12:F12"/>
    <mergeCell ref="A14:G14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B94-8E21-4A09-867D-6D62454904C1}">
  <dimension ref="A1:K27"/>
  <sheetViews>
    <sheetView zoomScale="85" zoomScaleNormal="85" workbookViewId="0">
      <selection activeCell="G27" activeCellId="1" sqref="G12 G27"/>
    </sheetView>
  </sheetViews>
  <sheetFormatPr defaultRowHeight="15" x14ac:dyDescent="0.25"/>
  <cols>
    <col min="1" max="1" width="25.5703125" style="1" bestFit="1" customWidth="1"/>
    <col min="2" max="6" width="9.140625" style="1"/>
    <col min="7" max="7" width="14.5703125" style="1" bestFit="1" customWidth="1"/>
    <col min="8" max="9" width="9.140625" style="1"/>
    <col min="10" max="10" width="58.140625" style="1" bestFit="1" customWidth="1"/>
    <col min="11" max="16384" width="9.140625" style="1"/>
  </cols>
  <sheetData>
    <row r="1" spans="1:11" ht="15.75" thickBot="1" x14ac:dyDescent="0.3">
      <c r="A1" s="295" t="s">
        <v>131</v>
      </c>
      <c r="B1" s="296"/>
      <c r="C1" s="296"/>
      <c r="D1" s="296"/>
      <c r="E1" s="296"/>
      <c r="F1" s="296"/>
      <c r="G1" s="297"/>
      <c r="J1" s="293" t="s">
        <v>130</v>
      </c>
      <c r="K1" s="294"/>
    </row>
    <row r="2" spans="1:11" ht="15.75" thickBot="1" x14ac:dyDescent="0.3">
      <c r="A2" s="4" t="s">
        <v>115</v>
      </c>
      <c r="B2" s="23">
        <v>21</v>
      </c>
      <c r="C2" s="2">
        <v>22</v>
      </c>
      <c r="D2" s="2">
        <v>23</v>
      </c>
      <c r="E2" s="2">
        <v>24</v>
      </c>
      <c r="F2" s="3">
        <v>25</v>
      </c>
      <c r="G2" s="4" t="s">
        <v>114</v>
      </c>
      <c r="J2" s="11" t="s">
        <v>129</v>
      </c>
      <c r="K2" s="31">
        <v>480</v>
      </c>
    </row>
    <row r="3" spans="1:11" x14ac:dyDescent="0.25">
      <c r="A3" s="5" t="s">
        <v>42</v>
      </c>
      <c r="B3" s="189">
        <v>131.23032574583266</v>
      </c>
      <c r="C3" s="189">
        <v>101.34374290282371</v>
      </c>
      <c r="D3" s="189">
        <v>91.030977477099938</v>
      </c>
      <c r="E3" s="189">
        <v>78.187607921339122</v>
      </c>
      <c r="F3" s="189">
        <v>138.18798419795627</v>
      </c>
      <c r="G3" s="5" t="s">
        <v>34</v>
      </c>
      <c r="J3" s="11" t="s">
        <v>128</v>
      </c>
      <c r="K3" s="5">
        <v>5</v>
      </c>
    </row>
    <row r="4" spans="1:11" x14ac:dyDescent="0.25">
      <c r="A4" s="5" t="s">
        <v>109</v>
      </c>
      <c r="B4" s="193">
        <v>0</v>
      </c>
      <c r="C4" s="185">
        <f>B5</f>
        <v>0</v>
      </c>
      <c r="D4" s="185">
        <f>C5</f>
        <v>0</v>
      </c>
      <c r="E4" s="185">
        <f>D5</f>
        <v>0</v>
      </c>
      <c r="F4" s="195">
        <f>E5</f>
        <v>0</v>
      </c>
      <c r="G4" s="194" t="s">
        <v>34</v>
      </c>
      <c r="J4" s="11" t="s">
        <v>127</v>
      </c>
      <c r="K4" s="5">
        <v>52</v>
      </c>
    </row>
    <row r="5" spans="1:11" x14ac:dyDescent="0.25">
      <c r="A5" s="5" t="s">
        <v>107</v>
      </c>
      <c r="B5" s="193">
        <f>MAX(0,B4+B6-B3)</f>
        <v>0</v>
      </c>
      <c r="C5" s="185">
        <f>MAX(0,C4+C6-C3)</f>
        <v>0</v>
      </c>
      <c r="D5" s="185">
        <f>MAX(0,D4+D6-D3)</f>
        <v>0</v>
      </c>
      <c r="E5" s="185">
        <f>MAX(0,E4+E6-E3)</f>
        <v>0</v>
      </c>
      <c r="F5" s="185">
        <f>MAX(0,F4+F6-F3)</f>
        <v>0</v>
      </c>
      <c r="G5" s="194">
        <f>SUM(B5:F5)*$K$11</f>
        <v>0</v>
      </c>
      <c r="J5" s="11" t="s">
        <v>126</v>
      </c>
      <c r="K5" s="5">
        <v>30</v>
      </c>
    </row>
    <row r="6" spans="1:11" x14ac:dyDescent="0.25">
      <c r="A6" s="5" t="s">
        <v>102</v>
      </c>
      <c r="B6" s="193">
        <f>(B11)*$K$5</f>
        <v>131.23032574583266</v>
      </c>
      <c r="C6" s="185">
        <f>(C11)*$K$5</f>
        <v>101.34374290282371</v>
      </c>
      <c r="D6" s="185">
        <f>(D11)*$K$5</f>
        <v>91.030977477099938</v>
      </c>
      <c r="E6" s="185">
        <f>(E11)*$K$5</f>
        <v>78.187607921339122</v>
      </c>
      <c r="F6" s="185">
        <f>(F11)*$K$5</f>
        <v>138.18798419795627</v>
      </c>
      <c r="G6" s="5">
        <f>SUM(B6:F6)*$K$10</f>
        <v>13499.515956126294</v>
      </c>
      <c r="J6" s="11" t="s">
        <v>125</v>
      </c>
      <c r="K6" s="5">
        <v>10</v>
      </c>
    </row>
    <row r="7" spans="1:11" x14ac:dyDescent="0.25">
      <c r="A7" s="5" t="s">
        <v>100</v>
      </c>
      <c r="B7" s="38">
        <f>(B10-B11)*$K$5</f>
        <v>18.769674254167342</v>
      </c>
      <c r="C7" s="36">
        <f>(C10-C11)*$K$5</f>
        <v>18.656257097176294</v>
      </c>
      <c r="D7" s="36">
        <f>(D10-D11)*$K$5</f>
        <v>28.969022522900065</v>
      </c>
      <c r="E7" s="36">
        <f>(E10-E11)*$K$5</f>
        <v>11.812392078660876</v>
      </c>
      <c r="F7" s="36">
        <f>(F10-F11)*$K$5</f>
        <v>11.812015802043732</v>
      </c>
      <c r="G7" s="5">
        <f>SUM(B7:F7)*$K$7*$K$14</f>
        <v>14403.097880791729</v>
      </c>
      <c r="J7" s="11" t="s">
        <v>124</v>
      </c>
      <c r="K7" s="5">
        <f>(K2*K3)/K5</f>
        <v>80</v>
      </c>
    </row>
    <row r="8" spans="1:11" ht="15.75" thickBot="1" x14ac:dyDescent="0.3">
      <c r="A8" s="5" t="s">
        <v>123</v>
      </c>
      <c r="B8" s="11">
        <v>0</v>
      </c>
      <c r="C8" s="7">
        <f>IF(C10-B10&lt;0,0,C10-B10)</f>
        <v>0</v>
      </c>
      <c r="D8" s="7">
        <f>IF(D10-C10&lt;0,0,D10-C10)</f>
        <v>0</v>
      </c>
      <c r="E8" s="7">
        <f>IF(E10-D10&lt;0,0,E10-D10)</f>
        <v>0</v>
      </c>
      <c r="F8" s="8">
        <f>IF(F10-E10&lt;0,0,F10-E10)</f>
        <v>2</v>
      </c>
      <c r="G8" s="5">
        <f>SUM(B8:F8)*$K$15</f>
        <v>24000</v>
      </c>
      <c r="J8" s="11"/>
      <c r="K8" s="6"/>
    </row>
    <row r="9" spans="1:11" ht="15.75" thickBot="1" x14ac:dyDescent="0.3">
      <c r="A9" s="5" t="s">
        <v>105</v>
      </c>
      <c r="B9" s="11">
        <f>$K$6-B10</f>
        <v>5</v>
      </c>
      <c r="C9" s="7">
        <f>IF(B10-C10&lt;0,0,B10-C10)</f>
        <v>1</v>
      </c>
      <c r="D9" s="7">
        <f>IF(C10-D10&lt;0,0,C10-D10)</f>
        <v>0</v>
      </c>
      <c r="E9" s="7">
        <f>IF(D10-E10&lt;0,0,D10-E10)</f>
        <v>1</v>
      </c>
      <c r="F9" s="8">
        <f>IF(E10-F10&lt;0,0,E10-F10)</f>
        <v>0</v>
      </c>
      <c r="G9" s="5">
        <f>SUM(B9:F9)*$K$16</f>
        <v>175000</v>
      </c>
      <c r="J9" s="293" t="s">
        <v>122</v>
      </c>
      <c r="K9" s="294"/>
    </row>
    <row r="10" spans="1:11" x14ac:dyDescent="0.25">
      <c r="A10" s="5" t="s">
        <v>104</v>
      </c>
      <c r="B10" s="11">
        <f>ROUNDUP((B3-B4)/$K$5,0)</f>
        <v>5</v>
      </c>
      <c r="C10" s="7">
        <f>ROUNDUP((C3-C4)/$K$5,0)</f>
        <v>4</v>
      </c>
      <c r="D10" s="7">
        <f>ROUNDUP((D3-D4)/$K$5,0)</f>
        <v>4</v>
      </c>
      <c r="E10" s="7">
        <f>ROUNDUP((E3-E4)/$K$5,0)</f>
        <v>3</v>
      </c>
      <c r="F10" s="8">
        <f>ROUNDUP((F3-F4)/$K$5,0)</f>
        <v>5</v>
      </c>
      <c r="G10" s="5" t="s">
        <v>34</v>
      </c>
      <c r="J10" s="11" t="s">
        <v>121</v>
      </c>
      <c r="K10" s="31">
        <v>25</v>
      </c>
    </row>
    <row r="11" spans="1:11" ht="15.75" thickBot="1" x14ac:dyDescent="0.3">
      <c r="A11" s="6" t="s">
        <v>103</v>
      </c>
      <c r="B11" s="39">
        <f>(B3-B4)/$K$5</f>
        <v>4.3743441915277552</v>
      </c>
      <c r="C11" s="40">
        <f>(C3-C4)/$K$5</f>
        <v>3.3781247634274569</v>
      </c>
      <c r="D11" s="40">
        <f>(D3-D4)/$K$5</f>
        <v>3.0343659159033312</v>
      </c>
      <c r="E11" s="40">
        <f>(E3-E4)/$K$5</f>
        <v>2.6062535973779708</v>
      </c>
      <c r="F11" s="33">
        <f>(F3-F4)/$K$5</f>
        <v>4.6062661399318756</v>
      </c>
      <c r="G11" s="6" t="s">
        <v>34</v>
      </c>
      <c r="J11" s="11" t="s">
        <v>120</v>
      </c>
      <c r="K11" s="5">
        <v>11.5</v>
      </c>
    </row>
    <row r="12" spans="1:11" ht="15.75" thickBot="1" x14ac:dyDescent="0.3">
      <c r="A12" s="290" t="s">
        <v>99</v>
      </c>
      <c r="B12" s="291"/>
      <c r="C12" s="291"/>
      <c r="D12" s="291"/>
      <c r="E12" s="291"/>
      <c r="F12" s="292"/>
      <c r="G12" s="181">
        <f>SUM(G3:G11)</f>
        <v>226902.61383691803</v>
      </c>
      <c r="J12" s="11" t="s">
        <v>119</v>
      </c>
      <c r="K12" s="5">
        <v>10</v>
      </c>
    </row>
    <row r="13" spans="1:11" ht="15.75" thickBot="1" x14ac:dyDescent="0.3">
      <c r="A13" s="197"/>
      <c r="B13" s="196"/>
      <c r="C13" s="196"/>
      <c r="D13" s="196"/>
      <c r="E13" s="196"/>
      <c r="F13" s="196"/>
      <c r="G13" s="198"/>
      <c r="H13" s="7"/>
      <c r="J13" s="11"/>
      <c r="K13" s="5"/>
    </row>
    <row r="14" spans="1:11" ht="15.75" thickBot="1" x14ac:dyDescent="0.3">
      <c r="A14" s="295" t="s">
        <v>117</v>
      </c>
      <c r="B14" s="296"/>
      <c r="C14" s="296"/>
      <c r="D14" s="296"/>
      <c r="E14" s="296"/>
      <c r="F14" s="296"/>
      <c r="G14" s="297"/>
      <c r="J14" s="11" t="s">
        <v>118</v>
      </c>
      <c r="K14" s="5">
        <v>2</v>
      </c>
    </row>
    <row r="15" spans="1:11" ht="15.75" thickBot="1" x14ac:dyDescent="0.3">
      <c r="A15" s="11" t="s">
        <v>115</v>
      </c>
      <c r="B15" s="45">
        <v>21</v>
      </c>
      <c r="C15" s="82">
        <v>22</v>
      </c>
      <c r="D15" s="82">
        <v>23</v>
      </c>
      <c r="E15" s="82">
        <v>24</v>
      </c>
      <c r="F15" s="90">
        <v>25</v>
      </c>
      <c r="G15" s="4" t="s">
        <v>114</v>
      </c>
      <c r="J15" s="11" t="s">
        <v>116</v>
      </c>
      <c r="K15" s="5">
        <v>12000</v>
      </c>
    </row>
    <row r="16" spans="1:11" x14ac:dyDescent="0.25">
      <c r="A16" s="31" t="s">
        <v>112</v>
      </c>
      <c r="B16" s="189">
        <v>131.23032574583266</v>
      </c>
      <c r="C16" s="189">
        <v>101.34374290282371</v>
      </c>
      <c r="D16" s="189">
        <v>91.030977477099938</v>
      </c>
      <c r="E16" s="189">
        <v>78.187607921339122</v>
      </c>
      <c r="F16" s="189">
        <v>138.18798419795627</v>
      </c>
      <c r="G16" s="188" t="s">
        <v>34</v>
      </c>
      <c r="J16" s="11" t="s">
        <v>113</v>
      </c>
      <c r="K16" s="5">
        <v>25000</v>
      </c>
    </row>
    <row r="17" spans="1:11" x14ac:dyDescent="0.25">
      <c r="A17" s="5" t="s">
        <v>111</v>
      </c>
      <c r="B17" s="185">
        <f>B16</f>
        <v>131.23032574583266</v>
      </c>
      <c r="C17" s="185">
        <f>C16+B25</f>
        <v>124.57794099964602</v>
      </c>
      <c r="D17" s="185">
        <f>D16+C25</f>
        <v>107.61279082773561</v>
      </c>
      <c r="E17" s="185">
        <f>E16+D25</f>
        <v>78.187607921339122</v>
      </c>
      <c r="F17" s="185">
        <f>F16+E25</f>
        <v>138.18798419795627</v>
      </c>
      <c r="G17" s="184" t="s">
        <v>34</v>
      </c>
      <c r="J17" s="11"/>
      <c r="K17" s="5"/>
    </row>
    <row r="18" spans="1:11" x14ac:dyDescent="0.25">
      <c r="A18" s="5" t="s">
        <v>109</v>
      </c>
      <c r="B18" s="185">
        <v>0</v>
      </c>
      <c r="C18" s="185">
        <f>B19</f>
        <v>0</v>
      </c>
      <c r="D18" s="185">
        <v>0</v>
      </c>
      <c r="E18" s="185">
        <v>0</v>
      </c>
      <c r="F18" s="185">
        <v>0</v>
      </c>
      <c r="G18" s="184" t="s">
        <v>34</v>
      </c>
      <c r="J18" s="11" t="s">
        <v>110</v>
      </c>
      <c r="K18" s="5"/>
    </row>
    <row r="19" spans="1:11" ht="15.75" thickBot="1" x14ac:dyDescent="0.3">
      <c r="A19" s="5" t="s">
        <v>107</v>
      </c>
      <c r="B19" s="185">
        <f>MAX(0,B18+B24-B16)</f>
        <v>0</v>
      </c>
      <c r="C19" s="185">
        <f>MAX(0,C18+C24-C17)</f>
        <v>0</v>
      </c>
      <c r="D19" s="185">
        <f>MAX(0,D18+D24-D17)</f>
        <v>0.38333682127473878</v>
      </c>
      <c r="E19" s="185">
        <f>MAX(0,E18+E24-E17)</f>
        <v>29.808519727671225</v>
      </c>
      <c r="F19" s="185">
        <f>MAX(0,F18+F24-F17)</f>
        <v>0</v>
      </c>
      <c r="G19" s="184">
        <f>SUM(B19:F19)*$K$11</f>
        <v>347.20635031287861</v>
      </c>
      <c r="J19" s="27" t="s">
        <v>108</v>
      </c>
      <c r="K19" s="6"/>
    </row>
    <row r="20" spans="1:11" x14ac:dyDescent="0.25">
      <c r="A20" s="5" t="s">
        <v>106</v>
      </c>
      <c r="B20" s="185">
        <f>SUM($B$16:$F$16)/5</f>
        <v>107.99612764901035</v>
      </c>
      <c r="C20" s="185">
        <f>SUM($B$16:$F$16)/5</f>
        <v>107.99612764901035</v>
      </c>
      <c r="D20" s="185">
        <f>SUM($B$16:$F$16)/5</f>
        <v>107.99612764901035</v>
      </c>
      <c r="E20" s="185">
        <f>SUM($B$16:$F$16)/5</f>
        <v>107.99612764901035</v>
      </c>
      <c r="F20" s="185">
        <f>SUM($B$16:$F$16)/5</f>
        <v>107.99612764901035</v>
      </c>
      <c r="G20" s="184" t="s">
        <v>34</v>
      </c>
    </row>
    <row r="21" spans="1:11" x14ac:dyDescent="0.25">
      <c r="A21" s="5" t="s">
        <v>105</v>
      </c>
      <c r="B21" s="185">
        <f>K6-B22</f>
        <v>6</v>
      </c>
      <c r="C21" s="185">
        <v>0</v>
      </c>
      <c r="D21" s="185">
        <v>0</v>
      </c>
      <c r="E21" s="185">
        <v>0</v>
      </c>
      <c r="F21" s="185">
        <v>0</v>
      </c>
      <c r="G21" s="184">
        <f>SUM(B21:F21)*$K$16</f>
        <v>150000</v>
      </c>
    </row>
    <row r="22" spans="1:11" x14ac:dyDescent="0.25">
      <c r="A22" s="5" t="s">
        <v>104</v>
      </c>
      <c r="B22" s="185">
        <f>ROUNDUP(B23,0)</f>
        <v>4</v>
      </c>
      <c r="C22" s="185">
        <f>B22</f>
        <v>4</v>
      </c>
      <c r="D22" s="185">
        <f>C22</f>
        <v>4</v>
      </c>
      <c r="E22" s="185">
        <f>D22</f>
        <v>4</v>
      </c>
      <c r="F22" s="185">
        <f>E22</f>
        <v>4</v>
      </c>
      <c r="G22" s="184" t="s">
        <v>34</v>
      </c>
      <c r="I22" s="187"/>
    </row>
    <row r="23" spans="1:11" x14ac:dyDescent="0.25">
      <c r="A23" s="5" t="s">
        <v>103</v>
      </c>
      <c r="B23" s="186">
        <f>$B$20/$K$5</f>
        <v>3.5998709216336784</v>
      </c>
      <c r="C23" s="186">
        <f>$B$20/$K$5</f>
        <v>3.5998709216336784</v>
      </c>
      <c r="D23" s="186">
        <f>$B$20/$K$5</f>
        <v>3.5998709216336784</v>
      </c>
      <c r="E23" s="186">
        <f>$B$20/$K$5</f>
        <v>3.5998709216336784</v>
      </c>
      <c r="F23" s="186">
        <f>$B$20/$K$5</f>
        <v>3.5998709216336784</v>
      </c>
      <c r="G23" s="184" t="s">
        <v>34</v>
      </c>
    </row>
    <row r="24" spans="1:11" x14ac:dyDescent="0.25">
      <c r="A24" s="5" t="s">
        <v>102</v>
      </c>
      <c r="B24" s="185">
        <f>B23*$K$5</f>
        <v>107.99612764901035</v>
      </c>
      <c r="C24" s="185">
        <f>C23*$K$5</f>
        <v>107.99612764901035</v>
      </c>
      <c r="D24" s="185">
        <f>D23*$K$5</f>
        <v>107.99612764901035</v>
      </c>
      <c r="E24" s="185">
        <f>E23*$K$5</f>
        <v>107.99612764901035</v>
      </c>
      <c r="F24" s="185">
        <f>F23*$K$5</f>
        <v>107.99612764901035</v>
      </c>
      <c r="G24" s="184">
        <f>SUM(B24:F24)*$K$10</f>
        <v>13499.515956126294</v>
      </c>
    </row>
    <row r="25" spans="1:11" x14ac:dyDescent="0.25">
      <c r="A25" s="5" t="s">
        <v>101</v>
      </c>
      <c r="B25" s="185">
        <f>MAX(0,B16-B24-B18)</f>
        <v>23.234198096822311</v>
      </c>
      <c r="C25" s="185">
        <f>MAX(0,C17-C24-C18)</f>
        <v>16.58181335063567</v>
      </c>
      <c r="D25" s="185">
        <f>MAX(0,D17-D24-D18)</f>
        <v>0</v>
      </c>
      <c r="E25" s="185">
        <f>MAX(0,E17-E24-E18)</f>
        <v>0</v>
      </c>
      <c r="F25" s="185">
        <f>MAX(0,F17-F24-F18)</f>
        <v>30.191856548945921</v>
      </c>
      <c r="G25" s="184">
        <f>SUM(B25:F25)*$K$12</f>
        <v>700.078679964039</v>
      </c>
    </row>
    <row r="26" spans="1:11" ht="15.75" thickBot="1" x14ac:dyDescent="0.3">
      <c r="A26" s="6" t="s">
        <v>100</v>
      </c>
      <c r="B26" s="183">
        <f>(B22-B23)*$K$5</f>
        <v>12.003872350989649</v>
      </c>
      <c r="C26" s="183">
        <f>(C22-C23)*$K$5</f>
        <v>12.003872350989649</v>
      </c>
      <c r="D26" s="183">
        <f>(D22-D23)*$K$5</f>
        <v>12.003872350989649</v>
      </c>
      <c r="E26" s="183">
        <f>(E22-E23)*$K$5</f>
        <v>12.003872350989649</v>
      </c>
      <c r="F26" s="183">
        <f>(F22-F23)*$K$5</f>
        <v>12.003872350989649</v>
      </c>
      <c r="G26" s="182">
        <f>SUM(B26:F26)*$K$14*$K$7</f>
        <v>9603.0978807917199</v>
      </c>
    </row>
    <row r="27" spans="1:11" ht="15.75" thickBot="1" x14ac:dyDescent="0.3">
      <c r="A27" s="290" t="s">
        <v>99</v>
      </c>
      <c r="B27" s="291"/>
      <c r="C27" s="291"/>
      <c r="D27" s="291"/>
      <c r="E27" s="291"/>
      <c r="F27" s="292"/>
      <c r="G27" s="181">
        <f>SUM(G18:G26)</f>
        <v>174149.89886719495</v>
      </c>
    </row>
  </sheetData>
  <mergeCells count="6">
    <mergeCell ref="A27:F27"/>
    <mergeCell ref="A1:G1"/>
    <mergeCell ref="J1:K1"/>
    <mergeCell ref="J9:K9"/>
    <mergeCell ref="A12:F12"/>
    <mergeCell ref="A14:G14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DF91-1608-478D-9E42-555FBBDAE83C}">
  <dimension ref="A1:K27"/>
  <sheetViews>
    <sheetView zoomScale="85" zoomScaleNormal="85" workbookViewId="0">
      <selection activeCell="H18" sqref="H18"/>
    </sheetView>
  </sheetViews>
  <sheetFormatPr defaultRowHeight="15" x14ac:dyDescent="0.25"/>
  <cols>
    <col min="1" max="1" width="25.5703125" style="1" bestFit="1" customWidth="1"/>
    <col min="2" max="6" width="9.140625" style="1"/>
    <col min="7" max="7" width="14.5703125" style="1" bestFit="1" customWidth="1"/>
    <col min="8" max="9" width="9.140625" style="1"/>
    <col min="10" max="10" width="58.140625" style="1" bestFit="1" customWidth="1"/>
    <col min="11" max="16384" width="9.140625" style="1"/>
  </cols>
  <sheetData>
    <row r="1" spans="1:11" ht="15.75" thickBot="1" x14ac:dyDescent="0.3">
      <c r="A1" s="295" t="s">
        <v>131</v>
      </c>
      <c r="B1" s="296"/>
      <c r="C1" s="296"/>
      <c r="D1" s="296"/>
      <c r="E1" s="296"/>
      <c r="F1" s="296"/>
      <c r="G1" s="297"/>
      <c r="J1" s="293" t="s">
        <v>130</v>
      </c>
      <c r="K1" s="294"/>
    </row>
    <row r="2" spans="1:11" ht="15.75" thickBot="1" x14ac:dyDescent="0.3">
      <c r="A2" s="4" t="s">
        <v>115</v>
      </c>
      <c r="B2" s="23">
        <v>21</v>
      </c>
      <c r="C2" s="2">
        <v>22</v>
      </c>
      <c r="D2" s="2">
        <v>23</v>
      </c>
      <c r="E2" s="2">
        <v>24</v>
      </c>
      <c r="F2" s="3">
        <v>25</v>
      </c>
      <c r="G2" s="4" t="s">
        <v>114</v>
      </c>
      <c r="J2" s="11" t="s">
        <v>129</v>
      </c>
      <c r="K2" s="31">
        <v>480</v>
      </c>
    </row>
    <row r="3" spans="1:11" x14ac:dyDescent="0.25">
      <c r="A3" s="5" t="s">
        <v>42</v>
      </c>
      <c r="B3" s="189">
        <v>82.315789469999999</v>
      </c>
      <c r="C3" s="189">
        <v>85.488721799999993</v>
      </c>
      <c r="D3" s="189">
        <v>88.661654139999996</v>
      </c>
      <c r="E3" s="189">
        <v>91.834586470000005</v>
      </c>
      <c r="F3" s="189">
        <v>95.0075188</v>
      </c>
      <c r="G3" s="5" t="s">
        <v>34</v>
      </c>
      <c r="J3" s="11" t="s">
        <v>128</v>
      </c>
      <c r="K3" s="5">
        <v>5</v>
      </c>
    </row>
    <row r="4" spans="1:11" x14ac:dyDescent="0.25">
      <c r="A4" s="5" t="s">
        <v>109</v>
      </c>
      <c r="B4" s="193">
        <v>0</v>
      </c>
      <c r="C4" s="185">
        <f>B5</f>
        <v>0</v>
      </c>
      <c r="D4" s="185">
        <f>C5</f>
        <v>0</v>
      </c>
      <c r="E4" s="185">
        <f>D5</f>
        <v>0</v>
      </c>
      <c r="F4" s="195">
        <f>E5</f>
        <v>0</v>
      </c>
      <c r="G4" s="194" t="s">
        <v>34</v>
      </c>
      <c r="J4" s="11" t="s">
        <v>127</v>
      </c>
      <c r="K4" s="5">
        <v>52</v>
      </c>
    </row>
    <row r="5" spans="1:11" x14ac:dyDescent="0.25">
      <c r="A5" s="5" t="s">
        <v>107</v>
      </c>
      <c r="B5" s="193">
        <f>MAX(0,B4+B6-B3)</f>
        <v>0</v>
      </c>
      <c r="C5" s="185">
        <f>MAX(0,C4+C6-C3)</f>
        <v>0</v>
      </c>
      <c r="D5" s="185">
        <f>MAX(0,D4+D6-D3)</f>
        <v>0</v>
      </c>
      <c r="E5" s="185">
        <f>MAX(0,E4+E6-E3)</f>
        <v>0</v>
      </c>
      <c r="F5" s="185">
        <f>MAX(0,F4+F6-F3)</f>
        <v>0</v>
      </c>
      <c r="G5" s="194">
        <f>SUM(B5:F5)*$K$11</f>
        <v>0</v>
      </c>
      <c r="J5" s="11" t="s">
        <v>126</v>
      </c>
      <c r="K5" s="5">
        <v>30</v>
      </c>
    </row>
    <row r="6" spans="1:11" x14ac:dyDescent="0.25">
      <c r="A6" s="5" t="s">
        <v>102</v>
      </c>
      <c r="B6" s="193">
        <f>(B11)*$K$5</f>
        <v>82.315789469999999</v>
      </c>
      <c r="C6" s="185">
        <f>(C11)*$K$5</f>
        <v>85.488721799999993</v>
      </c>
      <c r="D6" s="185">
        <f>(D11)*$K$5</f>
        <v>88.661654139999996</v>
      </c>
      <c r="E6" s="185">
        <f>(E11)*$K$5</f>
        <v>91.834586470000005</v>
      </c>
      <c r="F6" s="185">
        <f>(F11)*$K$5</f>
        <v>95.0075188</v>
      </c>
      <c r="G6" s="5">
        <f>SUM(B6:F6)*$K$10</f>
        <v>66496.240602000005</v>
      </c>
      <c r="J6" s="11" t="s">
        <v>125</v>
      </c>
      <c r="K6" s="5">
        <v>10</v>
      </c>
    </row>
    <row r="7" spans="1:11" x14ac:dyDescent="0.25">
      <c r="A7" s="5" t="s">
        <v>100</v>
      </c>
      <c r="B7" s="38">
        <f>(B10-B11)*$K$5</f>
        <v>7.6842105299999997</v>
      </c>
      <c r="C7" s="36">
        <f>(C10-C11)*$K$5</f>
        <v>4.5112782000000129</v>
      </c>
      <c r="D7" s="36">
        <f>(D10-D11)*$K$5</f>
        <v>1.3383458599999987</v>
      </c>
      <c r="E7" s="36">
        <f>(E10-E11)*$K$5</f>
        <v>28.165413529999999</v>
      </c>
      <c r="F7" s="36">
        <f>(F10-F11)*$K$5</f>
        <v>24.9924812</v>
      </c>
      <c r="G7" s="5">
        <f>SUM(B7:F7)*$K$7*$K$14</f>
        <v>10670.676691200002</v>
      </c>
      <c r="J7" s="11" t="s">
        <v>124</v>
      </c>
      <c r="K7" s="5">
        <f>(K2*K3)/K5</f>
        <v>80</v>
      </c>
    </row>
    <row r="8" spans="1:11" ht="15.75" thickBot="1" x14ac:dyDescent="0.3">
      <c r="A8" s="5" t="s">
        <v>123</v>
      </c>
      <c r="B8" s="11">
        <v>0</v>
      </c>
      <c r="C8" s="7">
        <f>IF(C10-B10&lt;0,0,C10-B10)</f>
        <v>0</v>
      </c>
      <c r="D8" s="7">
        <f>IF(D10-C10&lt;0,0,D10-C10)</f>
        <v>0</v>
      </c>
      <c r="E8" s="7">
        <f>IF(E10-D10&lt;0,0,E10-D10)</f>
        <v>1</v>
      </c>
      <c r="F8" s="8">
        <f>IF(F10-E10&lt;0,0,F10-E10)</f>
        <v>0</v>
      </c>
      <c r="G8" s="5">
        <f>SUM(B8:F8)*$K$15</f>
        <v>12000</v>
      </c>
      <c r="J8" s="11"/>
      <c r="K8" s="6"/>
    </row>
    <row r="9" spans="1:11" ht="15.75" thickBot="1" x14ac:dyDescent="0.3">
      <c r="A9" s="5" t="s">
        <v>105</v>
      </c>
      <c r="B9" s="11">
        <f>$K$6-B10</f>
        <v>7</v>
      </c>
      <c r="C9" s="7">
        <f>IF(B10-C10&lt;0,0,B10-C10)</f>
        <v>0</v>
      </c>
      <c r="D9" s="7">
        <f>IF(C10-D10&lt;0,0,C10-D10)</f>
        <v>0</v>
      </c>
      <c r="E9" s="7">
        <f>IF(D10-E10&lt;0,0,D10-E10)</f>
        <v>0</v>
      </c>
      <c r="F9" s="8">
        <f>IF(E10-F10&lt;0,0,E10-F10)</f>
        <v>0</v>
      </c>
      <c r="G9" s="5">
        <f>SUM(B9:F9)*$K$16</f>
        <v>175000</v>
      </c>
      <c r="J9" s="293" t="s">
        <v>122</v>
      </c>
      <c r="K9" s="294"/>
    </row>
    <row r="10" spans="1:11" x14ac:dyDescent="0.25">
      <c r="A10" s="5" t="s">
        <v>104</v>
      </c>
      <c r="B10" s="11">
        <f>ROUNDUP((B3-B4)/$K$5,0)</f>
        <v>3</v>
      </c>
      <c r="C10" s="7">
        <f>ROUNDUP((C3-C4)/$K$5,0)</f>
        <v>3</v>
      </c>
      <c r="D10" s="7">
        <f>ROUNDUP((D3-D4)/$K$5,0)</f>
        <v>3</v>
      </c>
      <c r="E10" s="7">
        <f>ROUNDUP((E3-E4)/$K$5,0)</f>
        <v>4</v>
      </c>
      <c r="F10" s="8">
        <f>ROUNDUP((F3-F4)/$K$5,0)</f>
        <v>4</v>
      </c>
      <c r="G10" s="5" t="s">
        <v>34</v>
      </c>
      <c r="J10" s="11" t="s">
        <v>121</v>
      </c>
      <c r="K10" s="31">
        <v>150</v>
      </c>
    </row>
    <row r="11" spans="1:11" ht="15.75" thickBot="1" x14ac:dyDescent="0.3">
      <c r="A11" s="6" t="s">
        <v>103</v>
      </c>
      <c r="B11" s="39">
        <f>(B3-B4)/$K$5</f>
        <v>2.743859649</v>
      </c>
      <c r="C11" s="40">
        <f>(C3-C4)/$K$5</f>
        <v>2.8496240599999996</v>
      </c>
      <c r="D11" s="40">
        <f>(D3-D4)/$K$5</f>
        <v>2.9553884713333334</v>
      </c>
      <c r="E11" s="40">
        <f>(E3-E4)/$K$5</f>
        <v>3.0611528823333334</v>
      </c>
      <c r="F11" s="33">
        <f>(F3-F4)/$K$5</f>
        <v>3.1669172933333334</v>
      </c>
      <c r="G11" s="6" t="s">
        <v>34</v>
      </c>
      <c r="J11" s="11" t="s">
        <v>120</v>
      </c>
      <c r="K11" s="5">
        <v>20</v>
      </c>
    </row>
    <row r="12" spans="1:11" ht="15.75" thickBot="1" x14ac:dyDescent="0.3">
      <c r="A12" s="290" t="s">
        <v>99</v>
      </c>
      <c r="B12" s="291"/>
      <c r="C12" s="291"/>
      <c r="D12" s="291"/>
      <c r="E12" s="291"/>
      <c r="F12" s="292"/>
      <c r="G12" s="181">
        <f>SUM(G3:G11)</f>
        <v>264166.91729320004</v>
      </c>
      <c r="J12" s="11" t="s">
        <v>119</v>
      </c>
      <c r="K12" s="5">
        <v>50</v>
      </c>
    </row>
    <row r="13" spans="1:11" ht="15.75" thickBot="1" x14ac:dyDescent="0.3">
      <c r="A13" s="197"/>
      <c r="B13" s="196"/>
      <c r="C13" s="196"/>
      <c r="D13" s="196"/>
      <c r="E13" s="196"/>
      <c r="F13" s="196"/>
      <c r="G13" s="3"/>
      <c r="J13" s="11"/>
      <c r="K13" s="5"/>
    </row>
    <row r="14" spans="1:11" ht="15.75" thickBot="1" x14ac:dyDescent="0.3">
      <c r="A14" s="295" t="s">
        <v>117</v>
      </c>
      <c r="B14" s="296"/>
      <c r="C14" s="296"/>
      <c r="D14" s="296"/>
      <c r="E14" s="296"/>
      <c r="F14" s="296"/>
      <c r="G14" s="297"/>
      <c r="J14" s="11" t="s">
        <v>118</v>
      </c>
      <c r="K14" s="5">
        <v>2</v>
      </c>
    </row>
    <row r="15" spans="1:11" ht="15.75" thickBot="1" x14ac:dyDescent="0.3">
      <c r="A15" s="11" t="s">
        <v>115</v>
      </c>
      <c r="B15" s="45">
        <v>21</v>
      </c>
      <c r="C15" s="82">
        <v>22</v>
      </c>
      <c r="D15" s="82">
        <v>23</v>
      </c>
      <c r="E15" s="82">
        <v>24</v>
      </c>
      <c r="F15" s="90">
        <v>25</v>
      </c>
      <c r="G15" s="4" t="s">
        <v>114</v>
      </c>
      <c r="J15" s="11" t="s">
        <v>116</v>
      </c>
      <c r="K15" s="5">
        <v>12000</v>
      </c>
    </row>
    <row r="16" spans="1:11" x14ac:dyDescent="0.25">
      <c r="A16" s="31" t="s">
        <v>112</v>
      </c>
      <c r="B16" s="189">
        <v>82.315789469999999</v>
      </c>
      <c r="C16" s="189">
        <v>85.488721799999993</v>
      </c>
      <c r="D16" s="189">
        <v>88.661654139999996</v>
      </c>
      <c r="E16" s="189">
        <v>91.834586470000005</v>
      </c>
      <c r="F16" s="189">
        <v>95.0075188</v>
      </c>
      <c r="G16" s="188" t="s">
        <v>34</v>
      </c>
      <c r="J16" s="11" t="s">
        <v>113</v>
      </c>
      <c r="K16" s="5">
        <v>25000</v>
      </c>
    </row>
    <row r="17" spans="1:11" x14ac:dyDescent="0.25">
      <c r="A17" s="5" t="s">
        <v>111</v>
      </c>
      <c r="B17" s="185">
        <f>B16</f>
        <v>82.315789469999999</v>
      </c>
      <c r="C17" s="185">
        <f>C16+B25</f>
        <v>85.488721799999993</v>
      </c>
      <c r="D17" s="185">
        <f>D16+C25</f>
        <v>88.661654139999996</v>
      </c>
      <c r="E17" s="185">
        <f>E16+D25</f>
        <v>91.834586473999991</v>
      </c>
      <c r="F17" s="185">
        <f>F16+E25</f>
        <v>98.180451137999981</v>
      </c>
      <c r="G17" s="184" t="s">
        <v>34</v>
      </c>
      <c r="J17" s="11"/>
      <c r="K17" s="5"/>
    </row>
    <row r="18" spans="1:11" x14ac:dyDescent="0.25">
      <c r="A18" s="5" t="s">
        <v>109</v>
      </c>
      <c r="B18" s="185">
        <v>0</v>
      </c>
      <c r="C18" s="185">
        <f>B19</f>
        <v>6.3458646660000113</v>
      </c>
      <c r="D18" s="185">
        <v>0</v>
      </c>
      <c r="E18" s="185">
        <v>0</v>
      </c>
      <c r="F18" s="185">
        <v>0</v>
      </c>
      <c r="G18" s="184" t="s">
        <v>34</v>
      </c>
      <c r="J18" s="11" t="s">
        <v>110</v>
      </c>
      <c r="K18" s="5"/>
    </row>
    <row r="19" spans="1:11" ht="15.75" thickBot="1" x14ac:dyDescent="0.3">
      <c r="A19" s="5" t="s">
        <v>107</v>
      </c>
      <c r="B19" s="185">
        <f>MAX(0,B18+B24-B16)</f>
        <v>6.3458646660000113</v>
      </c>
      <c r="C19" s="185">
        <f>MAX(0,C18+C24-C17)</f>
        <v>9.5187970020000279</v>
      </c>
      <c r="D19" s="185">
        <f>MAX(0,D18+D24-D17)</f>
        <v>0</v>
      </c>
      <c r="E19" s="185">
        <f>MAX(0,E18+E24-E17)</f>
        <v>0</v>
      </c>
      <c r="F19" s="185">
        <f>MAX(0,F18+F24-F17)</f>
        <v>0</v>
      </c>
      <c r="G19" s="184">
        <f>SUM(B19:F19)*$K$11</f>
        <v>317.29323336000078</v>
      </c>
      <c r="J19" s="27" t="s">
        <v>108</v>
      </c>
      <c r="K19" s="6"/>
    </row>
    <row r="20" spans="1:11" x14ac:dyDescent="0.25">
      <c r="A20" s="5" t="s">
        <v>106</v>
      </c>
      <c r="B20" s="185">
        <f>SUM($B$16:$F$16)/5</f>
        <v>88.66165413600001</v>
      </c>
      <c r="C20" s="185">
        <f>SUM($B$16:$F$16)/5</f>
        <v>88.66165413600001</v>
      </c>
      <c r="D20" s="185">
        <f>SUM($B$16:$F$16)/5</f>
        <v>88.66165413600001</v>
      </c>
      <c r="E20" s="185">
        <f>SUM($B$16:$F$16)/5</f>
        <v>88.66165413600001</v>
      </c>
      <c r="F20" s="185">
        <f>SUM($B$16:$F$16)/5</f>
        <v>88.66165413600001</v>
      </c>
      <c r="G20" s="184" t="s">
        <v>34</v>
      </c>
    </row>
    <row r="21" spans="1:11" x14ac:dyDescent="0.25">
      <c r="A21" s="5" t="s">
        <v>105</v>
      </c>
      <c r="B21" s="185">
        <f>K6-B22</f>
        <v>7</v>
      </c>
      <c r="C21" s="185">
        <v>0</v>
      </c>
      <c r="D21" s="185">
        <v>0</v>
      </c>
      <c r="E21" s="185">
        <v>0</v>
      </c>
      <c r="F21" s="185">
        <v>0</v>
      </c>
      <c r="G21" s="184">
        <f>SUM(B21:F21)*$K$16</f>
        <v>175000</v>
      </c>
    </row>
    <row r="22" spans="1:11" x14ac:dyDescent="0.25">
      <c r="A22" s="5" t="s">
        <v>104</v>
      </c>
      <c r="B22" s="185">
        <f>ROUNDUP(B23,0)</f>
        <v>3</v>
      </c>
      <c r="C22" s="185">
        <f>B22</f>
        <v>3</v>
      </c>
      <c r="D22" s="185">
        <f>C22</f>
        <v>3</v>
      </c>
      <c r="E22" s="185">
        <f>D22</f>
        <v>3</v>
      </c>
      <c r="F22" s="185">
        <f>E22</f>
        <v>3</v>
      </c>
      <c r="G22" s="184" t="s">
        <v>34</v>
      </c>
      <c r="I22" s="187"/>
    </row>
    <row r="23" spans="1:11" x14ac:dyDescent="0.25">
      <c r="A23" s="5" t="s">
        <v>103</v>
      </c>
      <c r="B23" s="186">
        <f>$B$20/$K$5</f>
        <v>2.9553884712000005</v>
      </c>
      <c r="C23" s="186">
        <f>$B$20/$K$5</f>
        <v>2.9553884712000005</v>
      </c>
      <c r="D23" s="186">
        <f>$B$20/$K$5</f>
        <v>2.9553884712000005</v>
      </c>
      <c r="E23" s="186">
        <f>$B$20/$K$5</f>
        <v>2.9553884712000005</v>
      </c>
      <c r="F23" s="186">
        <f>$B$20/$K$5</f>
        <v>2.9553884712000005</v>
      </c>
      <c r="G23" s="184" t="s">
        <v>34</v>
      </c>
    </row>
    <row r="24" spans="1:11" x14ac:dyDescent="0.25">
      <c r="A24" s="5" t="s">
        <v>102</v>
      </c>
      <c r="B24" s="185">
        <f>B23*$K$5</f>
        <v>88.66165413600001</v>
      </c>
      <c r="C24" s="185">
        <f>C23*$K$5</f>
        <v>88.66165413600001</v>
      </c>
      <c r="D24" s="185">
        <f>D23*$K$5</f>
        <v>88.66165413600001</v>
      </c>
      <c r="E24" s="185">
        <f>E23*$K$5</f>
        <v>88.66165413600001</v>
      </c>
      <c r="F24" s="185">
        <f>F23*$K$5</f>
        <v>88.66165413600001</v>
      </c>
      <c r="G24" s="184">
        <f>SUM(B24:F24)*$K$10</f>
        <v>66496.240602000005</v>
      </c>
    </row>
    <row r="25" spans="1:11" x14ac:dyDescent="0.25">
      <c r="A25" s="5" t="s">
        <v>101</v>
      </c>
      <c r="B25" s="185">
        <f>MAX(0,B16-B24-B18)</f>
        <v>0</v>
      </c>
      <c r="C25" s="185">
        <f>MAX(0,C17-C24-C18)</f>
        <v>0</v>
      </c>
      <c r="D25" s="185">
        <f>MAX(0,D17-D24-D18)</f>
        <v>3.9999861201067688E-9</v>
      </c>
      <c r="E25" s="185">
        <f>MAX(0,E17-E24-E18)</f>
        <v>3.1729323379999812</v>
      </c>
      <c r="F25" s="185">
        <f>MAX(0,F17-F24-F18)</f>
        <v>9.518797001999971</v>
      </c>
      <c r="G25" s="184">
        <f>SUM(B25:F25)*$K$12</f>
        <v>634.58646719999695</v>
      </c>
    </row>
    <row r="26" spans="1:11" ht="15.75" thickBot="1" x14ac:dyDescent="0.3">
      <c r="A26" s="6" t="s">
        <v>100</v>
      </c>
      <c r="B26" s="183">
        <f>(B22-B23)*$K$5</f>
        <v>1.3383458639999857</v>
      </c>
      <c r="C26" s="183">
        <f>(C22-C23)*$K$5</f>
        <v>1.3383458639999857</v>
      </c>
      <c r="D26" s="183">
        <f>(D22-D23)*$K$5</f>
        <v>1.3383458639999857</v>
      </c>
      <c r="E26" s="183">
        <f>(E22-E23)*$K$5</f>
        <v>1.3383458639999857</v>
      </c>
      <c r="F26" s="183">
        <f>(F22-F23)*$K$5</f>
        <v>1.3383458639999857</v>
      </c>
      <c r="G26" s="182">
        <f>SUM(B26:F26)*$K$14*$K$7</f>
        <v>1070.6766911999885</v>
      </c>
    </row>
    <row r="27" spans="1:11" ht="15.75" thickBot="1" x14ac:dyDescent="0.3">
      <c r="A27" s="290" t="s">
        <v>99</v>
      </c>
      <c r="B27" s="291"/>
      <c r="C27" s="291"/>
      <c r="D27" s="291"/>
      <c r="E27" s="291"/>
      <c r="F27" s="292"/>
      <c r="G27" s="181">
        <f>SUM(G18:G26)</f>
        <v>243518.79699375998</v>
      </c>
    </row>
  </sheetData>
  <mergeCells count="6">
    <mergeCell ref="A27:F27"/>
    <mergeCell ref="A1:G1"/>
    <mergeCell ref="J1:K1"/>
    <mergeCell ref="J9:K9"/>
    <mergeCell ref="A12:F12"/>
    <mergeCell ref="A14:G14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2EF47-B7A2-491C-ABAF-2A0A5BDE365E}">
  <dimension ref="A1:K27"/>
  <sheetViews>
    <sheetView zoomScale="85" zoomScaleNormal="85" workbookViewId="0">
      <selection activeCell="G27" sqref="G27"/>
    </sheetView>
  </sheetViews>
  <sheetFormatPr defaultRowHeight="15" x14ac:dyDescent="0.25"/>
  <cols>
    <col min="1" max="1" width="25.5703125" style="1" bestFit="1" customWidth="1"/>
    <col min="2" max="6" width="9.140625" style="1"/>
    <col min="7" max="7" width="14.5703125" style="1" bestFit="1" customWidth="1"/>
    <col min="8" max="9" width="9.140625" style="1"/>
    <col min="10" max="10" width="58.140625" style="1" bestFit="1" customWidth="1"/>
    <col min="11" max="16384" width="9.140625" style="1"/>
  </cols>
  <sheetData>
    <row r="1" spans="1:11" ht="15.75" thickBot="1" x14ac:dyDescent="0.3">
      <c r="A1" s="295" t="s">
        <v>131</v>
      </c>
      <c r="B1" s="296"/>
      <c r="C1" s="296"/>
      <c r="D1" s="296"/>
      <c r="E1" s="296"/>
      <c r="F1" s="296"/>
      <c r="G1" s="297"/>
      <c r="J1" s="293" t="s">
        <v>130</v>
      </c>
      <c r="K1" s="294"/>
    </row>
    <row r="2" spans="1:11" ht="15.75" thickBot="1" x14ac:dyDescent="0.3">
      <c r="A2" s="4" t="s">
        <v>115</v>
      </c>
      <c r="B2" s="23">
        <v>21</v>
      </c>
      <c r="C2" s="2">
        <v>22</v>
      </c>
      <c r="D2" s="2">
        <v>23</v>
      </c>
      <c r="E2" s="2">
        <v>24</v>
      </c>
      <c r="F2" s="3">
        <v>25</v>
      </c>
      <c r="G2" s="4" t="s">
        <v>114</v>
      </c>
      <c r="J2" s="11" t="s">
        <v>129</v>
      </c>
      <c r="K2" s="31">
        <v>480</v>
      </c>
    </row>
    <row r="3" spans="1:11" x14ac:dyDescent="0.25">
      <c r="A3" s="5" t="s">
        <v>42</v>
      </c>
      <c r="B3" s="189">
        <v>47.375</v>
      </c>
      <c r="C3" s="189">
        <v>48.857142899999999</v>
      </c>
      <c r="D3" s="189">
        <v>46.8333333</v>
      </c>
      <c r="E3" s="189">
        <v>47.2</v>
      </c>
      <c r="F3" s="189">
        <v>47</v>
      </c>
      <c r="G3" s="5" t="s">
        <v>34</v>
      </c>
      <c r="J3" s="11" t="s">
        <v>128</v>
      </c>
      <c r="K3" s="5">
        <v>5</v>
      </c>
    </row>
    <row r="4" spans="1:11" x14ac:dyDescent="0.25">
      <c r="A4" s="5" t="s">
        <v>109</v>
      </c>
      <c r="B4" s="193">
        <v>0</v>
      </c>
      <c r="C4" s="185">
        <f>B5</f>
        <v>0</v>
      </c>
      <c r="D4" s="185">
        <f>C5</f>
        <v>0</v>
      </c>
      <c r="E4" s="185">
        <f>D5</f>
        <v>0</v>
      </c>
      <c r="F4" s="195">
        <f>E5</f>
        <v>0</v>
      </c>
      <c r="G4" s="194" t="s">
        <v>34</v>
      </c>
      <c r="J4" s="11" t="s">
        <v>127</v>
      </c>
      <c r="K4" s="5">
        <v>52</v>
      </c>
    </row>
    <row r="5" spans="1:11" x14ac:dyDescent="0.25">
      <c r="A5" s="5" t="s">
        <v>107</v>
      </c>
      <c r="B5" s="193">
        <f>MAX(0,B4+B6-B3)</f>
        <v>0</v>
      </c>
      <c r="C5" s="185">
        <f>MAX(0,C4+C6-C3)</f>
        <v>0</v>
      </c>
      <c r="D5" s="185">
        <f>MAX(0,D4+D6-D3)</f>
        <v>0</v>
      </c>
      <c r="E5" s="185">
        <f>MAX(0,E4+E6-E3)</f>
        <v>0</v>
      </c>
      <c r="F5" s="185">
        <f>MAX(0,F4+F6-F3)</f>
        <v>0</v>
      </c>
      <c r="G5" s="194">
        <f>SUM(B5:F5)*$K$11</f>
        <v>0</v>
      </c>
      <c r="J5" s="11" t="s">
        <v>126</v>
      </c>
      <c r="K5" s="5">
        <v>30</v>
      </c>
    </row>
    <row r="6" spans="1:11" x14ac:dyDescent="0.25">
      <c r="A6" s="5" t="s">
        <v>102</v>
      </c>
      <c r="B6" s="193">
        <f>(B11)*$K$5</f>
        <v>47.375</v>
      </c>
      <c r="C6" s="185">
        <f>(C11)*$K$5</f>
        <v>48.857142899999999</v>
      </c>
      <c r="D6" s="185">
        <f>(D11)*$K$5</f>
        <v>46.8333333</v>
      </c>
      <c r="E6" s="185">
        <f>(E11)*$K$5</f>
        <v>47.2</v>
      </c>
      <c r="F6" s="185">
        <f>(F11)*$K$5</f>
        <v>47</v>
      </c>
      <c r="G6" s="5">
        <f>SUM(B6:F6)*$K$10</f>
        <v>47453.095240000002</v>
      </c>
      <c r="J6" s="11" t="s">
        <v>125</v>
      </c>
      <c r="K6" s="5">
        <v>10</v>
      </c>
    </row>
    <row r="7" spans="1:11" x14ac:dyDescent="0.25">
      <c r="A7" s="5" t="s">
        <v>100</v>
      </c>
      <c r="B7" s="38">
        <f>(B10-B11)*$K$5</f>
        <v>12.625000000000002</v>
      </c>
      <c r="C7" s="36">
        <f>(C10-C11)*$K$5</f>
        <v>11.142857099999999</v>
      </c>
      <c r="D7" s="36">
        <f>(D10-D11)*$K$5</f>
        <v>13.166666700000002</v>
      </c>
      <c r="E7" s="36">
        <f>(E10-E11)*$K$5</f>
        <v>12.799999999999995</v>
      </c>
      <c r="F7" s="36">
        <f>(F10-F11)*$K$5</f>
        <v>13</v>
      </c>
      <c r="G7" s="5">
        <f>SUM(B7:F7)*$K$7*$K$14</f>
        <v>10037.523808</v>
      </c>
      <c r="J7" s="11" t="s">
        <v>124</v>
      </c>
      <c r="K7" s="5">
        <f>(K2*K3)/K5</f>
        <v>80</v>
      </c>
    </row>
    <row r="8" spans="1:11" ht="15.75" thickBot="1" x14ac:dyDescent="0.3">
      <c r="A8" s="5" t="s">
        <v>123</v>
      </c>
      <c r="B8" s="11">
        <v>0</v>
      </c>
      <c r="C8" s="7">
        <f>IF(C10-B10&lt;0,0,C10-B10)</f>
        <v>0</v>
      </c>
      <c r="D8" s="7">
        <f>IF(D10-C10&lt;0,0,D10-C10)</f>
        <v>0</v>
      </c>
      <c r="E8" s="7">
        <f>IF(E10-D10&lt;0,0,E10-D10)</f>
        <v>0</v>
      </c>
      <c r="F8" s="8">
        <f>IF(F10-E10&lt;0,0,F10-E10)</f>
        <v>0</v>
      </c>
      <c r="G8" s="5">
        <f>SUM(B8:F8)*$K$15</f>
        <v>0</v>
      </c>
      <c r="J8" s="11"/>
      <c r="K8" s="6"/>
    </row>
    <row r="9" spans="1:11" ht="15.75" thickBot="1" x14ac:dyDescent="0.3">
      <c r="A9" s="5" t="s">
        <v>105</v>
      </c>
      <c r="B9" s="11">
        <f>$K$6-B10</f>
        <v>8</v>
      </c>
      <c r="C9" s="7">
        <f>IF(B10-C10&lt;0,0,B10-C10)</f>
        <v>0</v>
      </c>
      <c r="D9" s="7">
        <f>IF(C10-D10&lt;0,0,C10-D10)</f>
        <v>0</v>
      </c>
      <c r="E9" s="7">
        <f>IF(D10-E10&lt;0,0,D10-E10)</f>
        <v>0</v>
      </c>
      <c r="F9" s="8">
        <f>IF(E10-F10&lt;0,0,E10-F10)</f>
        <v>0</v>
      </c>
      <c r="G9" s="5">
        <f>SUM(B9:F9)*$K$16</f>
        <v>200000</v>
      </c>
      <c r="J9" s="293" t="s">
        <v>122</v>
      </c>
      <c r="K9" s="294"/>
    </row>
    <row r="10" spans="1:11" x14ac:dyDescent="0.25">
      <c r="A10" s="5" t="s">
        <v>104</v>
      </c>
      <c r="B10" s="11">
        <f>ROUNDUP((B3-B4)/$K$5,0)</f>
        <v>2</v>
      </c>
      <c r="C10" s="7">
        <f>ROUNDUP((C3-C4)/$K$5,0)</f>
        <v>2</v>
      </c>
      <c r="D10" s="7">
        <f>ROUNDUP((D3-D4)/$K$5,0)</f>
        <v>2</v>
      </c>
      <c r="E10" s="7">
        <f>ROUNDUP((E3-E4)/$K$5,0)</f>
        <v>2</v>
      </c>
      <c r="F10" s="8">
        <f>ROUNDUP((F3-F4)/$K$5,0)</f>
        <v>2</v>
      </c>
      <c r="G10" s="5" t="s">
        <v>34</v>
      </c>
      <c r="J10" s="11" t="s">
        <v>121</v>
      </c>
      <c r="K10" s="31">
        <v>200</v>
      </c>
    </row>
    <row r="11" spans="1:11" ht="15.75" thickBot="1" x14ac:dyDescent="0.3">
      <c r="A11" s="6" t="s">
        <v>103</v>
      </c>
      <c r="B11" s="39">
        <f>(B3-B4)/$K$5</f>
        <v>1.5791666666666666</v>
      </c>
      <c r="C11" s="40">
        <f>(C3-C4)/$K$5</f>
        <v>1.62857143</v>
      </c>
      <c r="D11" s="40">
        <f>(D3-D4)/$K$5</f>
        <v>1.5611111099999999</v>
      </c>
      <c r="E11" s="40">
        <f>(E3-E4)/$K$5</f>
        <v>1.5733333333333335</v>
      </c>
      <c r="F11" s="33">
        <f>(F3-F4)/$K$5</f>
        <v>1.5666666666666667</v>
      </c>
      <c r="G11" s="6" t="s">
        <v>34</v>
      </c>
      <c r="J11" s="11" t="s">
        <v>120</v>
      </c>
      <c r="K11" s="5">
        <v>19</v>
      </c>
    </row>
    <row r="12" spans="1:11" ht="15.75" thickBot="1" x14ac:dyDescent="0.3">
      <c r="A12" s="290" t="s">
        <v>99</v>
      </c>
      <c r="B12" s="291"/>
      <c r="C12" s="291"/>
      <c r="D12" s="291"/>
      <c r="E12" s="291"/>
      <c r="F12" s="292"/>
      <c r="G12" s="181">
        <f>SUM(G3:G11)</f>
        <v>257490.61904799999</v>
      </c>
      <c r="J12" s="11" t="s">
        <v>119</v>
      </c>
      <c r="K12" s="5">
        <v>75</v>
      </c>
    </row>
    <row r="13" spans="1:11" ht="15.75" thickBot="1" x14ac:dyDescent="0.3">
      <c r="A13" s="197"/>
      <c r="B13" s="196"/>
      <c r="C13" s="196"/>
      <c r="D13" s="196"/>
      <c r="E13" s="196"/>
      <c r="F13" s="196"/>
      <c r="G13" s="3"/>
      <c r="J13" s="11"/>
      <c r="K13" s="5"/>
    </row>
    <row r="14" spans="1:11" ht="15.75" thickBot="1" x14ac:dyDescent="0.3">
      <c r="A14" s="295" t="s">
        <v>117</v>
      </c>
      <c r="B14" s="296"/>
      <c r="C14" s="296"/>
      <c r="D14" s="296"/>
      <c r="E14" s="296"/>
      <c r="F14" s="296"/>
      <c r="G14" s="297"/>
      <c r="J14" s="11" t="s">
        <v>118</v>
      </c>
      <c r="K14" s="5">
        <v>2</v>
      </c>
    </row>
    <row r="15" spans="1:11" ht="15.75" thickBot="1" x14ac:dyDescent="0.3">
      <c r="A15" s="11" t="s">
        <v>115</v>
      </c>
      <c r="B15" s="45">
        <v>21</v>
      </c>
      <c r="C15" s="82">
        <v>22</v>
      </c>
      <c r="D15" s="82">
        <v>23</v>
      </c>
      <c r="E15" s="82">
        <v>24</v>
      </c>
      <c r="F15" s="90">
        <v>25</v>
      </c>
      <c r="G15" s="4" t="s">
        <v>114</v>
      </c>
      <c r="J15" s="11" t="s">
        <v>116</v>
      </c>
      <c r="K15" s="5">
        <v>12000</v>
      </c>
    </row>
    <row r="16" spans="1:11" x14ac:dyDescent="0.25">
      <c r="A16" s="31" t="s">
        <v>112</v>
      </c>
      <c r="B16" s="189">
        <v>47.375</v>
      </c>
      <c r="C16" s="189">
        <v>48.857142899999999</v>
      </c>
      <c r="D16" s="189">
        <v>46.8333333</v>
      </c>
      <c r="E16" s="189">
        <v>47.2</v>
      </c>
      <c r="F16" s="189">
        <v>47</v>
      </c>
      <c r="G16" s="188" t="s">
        <v>34</v>
      </c>
      <c r="J16" s="11" t="s">
        <v>113</v>
      </c>
      <c r="K16" s="5">
        <v>25000</v>
      </c>
    </row>
    <row r="17" spans="1:11" x14ac:dyDescent="0.25">
      <c r="A17" s="5" t="s">
        <v>111</v>
      </c>
      <c r="B17" s="185">
        <f>B16</f>
        <v>47.375</v>
      </c>
      <c r="C17" s="185">
        <f>C16+B25</f>
        <v>48.857142899999999</v>
      </c>
      <c r="D17" s="185">
        <f>D16+C25</f>
        <v>48.159285719999993</v>
      </c>
      <c r="E17" s="185">
        <f>E16+D25</f>
        <v>47.906190479999992</v>
      </c>
      <c r="F17" s="185">
        <f>F16+E25</f>
        <v>47.453095239999989</v>
      </c>
      <c r="G17" s="184" t="s">
        <v>34</v>
      </c>
      <c r="J17" s="11"/>
      <c r="K17" s="5"/>
    </row>
    <row r="18" spans="1:11" x14ac:dyDescent="0.25">
      <c r="A18" s="5" t="s">
        <v>109</v>
      </c>
      <c r="B18" s="185">
        <v>0</v>
      </c>
      <c r="C18" s="185">
        <f>B19</f>
        <v>7.809524000000323E-2</v>
      </c>
      <c r="D18" s="185">
        <v>0</v>
      </c>
      <c r="E18" s="185">
        <v>0</v>
      </c>
      <c r="F18" s="185">
        <v>0</v>
      </c>
      <c r="G18" s="184" t="s">
        <v>34</v>
      </c>
      <c r="J18" s="11" t="s">
        <v>110</v>
      </c>
      <c r="K18" s="5"/>
    </row>
    <row r="19" spans="1:11" ht="15.75" thickBot="1" x14ac:dyDescent="0.3">
      <c r="A19" s="5" t="s">
        <v>107</v>
      </c>
      <c r="B19" s="185">
        <f>MAX(0,B18+B24-B16)</f>
        <v>7.809524000000323E-2</v>
      </c>
      <c r="C19" s="185">
        <f>MAX(0,C18+C24-C17)</f>
        <v>0</v>
      </c>
      <c r="D19" s="185">
        <f>MAX(0,D18+D24-D17)</f>
        <v>0</v>
      </c>
      <c r="E19" s="185">
        <f>MAX(0,E18+E24-E17)</f>
        <v>0</v>
      </c>
      <c r="F19" s="185">
        <f>MAX(0,F18+F24-F17)</f>
        <v>1.4210854715202004E-14</v>
      </c>
      <c r="G19" s="184">
        <f>SUM(B19:F19)*$K$11</f>
        <v>1.4838095600003314</v>
      </c>
      <c r="J19" s="27" t="s">
        <v>108</v>
      </c>
      <c r="K19" s="6"/>
    </row>
    <row r="20" spans="1:11" x14ac:dyDescent="0.25">
      <c r="A20" s="5" t="s">
        <v>106</v>
      </c>
      <c r="B20" s="185">
        <f>SUM($B$16:$F$16)/5</f>
        <v>47.453095240000003</v>
      </c>
      <c r="C20" s="185">
        <f>SUM($B$16:$F$16)/5</f>
        <v>47.453095240000003</v>
      </c>
      <c r="D20" s="185">
        <f>SUM($B$16:$F$16)/5</f>
        <v>47.453095240000003</v>
      </c>
      <c r="E20" s="185">
        <f>SUM($B$16:$F$16)/5</f>
        <v>47.453095240000003</v>
      </c>
      <c r="F20" s="185">
        <f>SUM($B$16:$F$16)/5</f>
        <v>47.453095240000003</v>
      </c>
      <c r="G20" s="184" t="s">
        <v>34</v>
      </c>
    </row>
    <row r="21" spans="1:11" x14ac:dyDescent="0.25">
      <c r="A21" s="5" t="s">
        <v>105</v>
      </c>
      <c r="B21" s="185">
        <f>K6-B22</f>
        <v>8</v>
      </c>
      <c r="C21" s="185">
        <v>0</v>
      </c>
      <c r="D21" s="185">
        <v>0</v>
      </c>
      <c r="E21" s="185">
        <v>0</v>
      </c>
      <c r="F21" s="185">
        <v>0</v>
      </c>
      <c r="G21" s="184">
        <f>SUM(B21:F21)*$K$16</f>
        <v>200000</v>
      </c>
    </row>
    <row r="22" spans="1:11" x14ac:dyDescent="0.25">
      <c r="A22" s="5" t="s">
        <v>104</v>
      </c>
      <c r="B22" s="185">
        <f>ROUNDUP(B23,0)</f>
        <v>2</v>
      </c>
      <c r="C22" s="185">
        <f>B22</f>
        <v>2</v>
      </c>
      <c r="D22" s="185">
        <f>C22</f>
        <v>2</v>
      </c>
      <c r="E22" s="185">
        <f>D22</f>
        <v>2</v>
      </c>
      <c r="F22" s="185">
        <f>E22</f>
        <v>2</v>
      </c>
      <c r="G22" s="184" t="s">
        <v>34</v>
      </c>
      <c r="I22" s="187"/>
    </row>
    <row r="23" spans="1:11" x14ac:dyDescent="0.25">
      <c r="A23" s="5" t="s">
        <v>103</v>
      </c>
      <c r="B23" s="186">
        <f>$B$20/$K$5</f>
        <v>1.5817698413333334</v>
      </c>
      <c r="C23" s="186">
        <f>$B$20/$K$5</f>
        <v>1.5817698413333334</v>
      </c>
      <c r="D23" s="186">
        <f>$B$20/$K$5</f>
        <v>1.5817698413333334</v>
      </c>
      <c r="E23" s="186">
        <f>$B$20/$K$5</f>
        <v>1.5817698413333334</v>
      </c>
      <c r="F23" s="186">
        <f>$B$20/$K$5</f>
        <v>1.5817698413333334</v>
      </c>
      <c r="G23" s="184" t="s">
        <v>34</v>
      </c>
    </row>
    <row r="24" spans="1:11" x14ac:dyDescent="0.25">
      <c r="A24" s="5" t="s">
        <v>102</v>
      </c>
      <c r="B24" s="185">
        <f>B23*$K$5</f>
        <v>47.453095240000003</v>
      </c>
      <c r="C24" s="185">
        <f>C23*$K$5</f>
        <v>47.453095240000003</v>
      </c>
      <c r="D24" s="185">
        <f>D23*$K$5</f>
        <v>47.453095240000003</v>
      </c>
      <c r="E24" s="185">
        <f>E23*$K$5</f>
        <v>47.453095240000003</v>
      </c>
      <c r="F24" s="185">
        <f>F23*$K$5</f>
        <v>47.453095240000003</v>
      </c>
      <c r="G24" s="184">
        <f>SUM(B24:F24)*$K$10</f>
        <v>47453.095240000002</v>
      </c>
    </row>
    <row r="25" spans="1:11" x14ac:dyDescent="0.25">
      <c r="A25" s="5" t="s">
        <v>101</v>
      </c>
      <c r="B25" s="185">
        <f>MAX(0,B16-B24-B18)</f>
        <v>0</v>
      </c>
      <c r="C25" s="185">
        <f>MAX(0,C17-C24-C18)</f>
        <v>1.325952419999993</v>
      </c>
      <c r="D25" s="185">
        <f>MAX(0,D17-D24-D18)</f>
        <v>0.70619047999998941</v>
      </c>
      <c r="E25" s="185">
        <f>MAX(0,E17-E24-E18)</f>
        <v>0.45309523999998902</v>
      </c>
      <c r="F25" s="185">
        <f>MAX(0,F17-F24-F18)</f>
        <v>0</v>
      </c>
      <c r="G25" s="184">
        <f>SUM(B25:F25)*$K$12</f>
        <v>186.39286049999785</v>
      </c>
    </row>
    <row r="26" spans="1:11" ht="15.75" thickBot="1" x14ac:dyDescent="0.3">
      <c r="A26" s="6" t="s">
        <v>100</v>
      </c>
      <c r="B26" s="183">
        <f>(B22-B23)*$K$5</f>
        <v>12.546904759999997</v>
      </c>
      <c r="C26" s="183">
        <f>(C22-C23)*$K$5</f>
        <v>12.546904759999997</v>
      </c>
      <c r="D26" s="183">
        <f>(D22-D23)*$K$5</f>
        <v>12.546904759999997</v>
      </c>
      <c r="E26" s="183">
        <f>(E22-E23)*$K$5</f>
        <v>12.546904759999997</v>
      </c>
      <c r="F26" s="183">
        <f>(F22-F23)*$K$5</f>
        <v>12.546904759999997</v>
      </c>
      <c r="G26" s="182">
        <f>SUM(B26:F26)*$K$14*$K$7</f>
        <v>10037.523807999998</v>
      </c>
    </row>
    <row r="27" spans="1:11" ht="15.75" thickBot="1" x14ac:dyDescent="0.3">
      <c r="A27" s="290" t="s">
        <v>99</v>
      </c>
      <c r="B27" s="291"/>
      <c r="C27" s="291"/>
      <c r="D27" s="291"/>
      <c r="E27" s="291"/>
      <c r="F27" s="292"/>
      <c r="G27" s="181">
        <f>SUM(G18:G26)</f>
        <v>257678.49571806</v>
      </c>
    </row>
  </sheetData>
  <mergeCells count="6">
    <mergeCell ref="A27:F27"/>
    <mergeCell ref="A1:G1"/>
    <mergeCell ref="J1:K1"/>
    <mergeCell ref="J9:K9"/>
    <mergeCell ref="A12:F12"/>
    <mergeCell ref="A14:G14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07DA1-BB50-4A0C-B6D2-7F473830D401}">
  <sheetPr codeName="Sheet2"/>
  <dimension ref="A1:X79"/>
  <sheetViews>
    <sheetView topLeftCell="A8" zoomScale="90" zoomScaleNormal="90" workbookViewId="0">
      <selection activeCell="M16" sqref="M16"/>
    </sheetView>
  </sheetViews>
  <sheetFormatPr defaultColWidth="12.42578125" defaultRowHeight="15" x14ac:dyDescent="0.25"/>
  <cols>
    <col min="1" max="1" width="16.140625" style="1" bestFit="1" customWidth="1"/>
    <col min="2" max="3" width="12.42578125" style="1"/>
    <col min="4" max="4" width="14.28515625" style="1" bestFit="1" customWidth="1"/>
    <col min="5" max="5" width="12.42578125" style="1"/>
    <col min="6" max="6" width="14.28515625" style="1" bestFit="1" customWidth="1"/>
    <col min="7" max="7" width="12.42578125" style="1"/>
    <col min="8" max="8" width="14.28515625" style="1" bestFit="1" customWidth="1"/>
    <col min="9" max="9" width="12.42578125" style="1"/>
    <col min="10" max="10" width="14.28515625" style="1" bestFit="1" customWidth="1"/>
    <col min="11" max="16384" width="12.42578125" style="1"/>
  </cols>
  <sheetData>
    <row r="1" spans="1:2" ht="15.75" thickBot="1" x14ac:dyDescent="0.3">
      <c r="A1" s="60" t="s">
        <v>0</v>
      </c>
      <c r="B1" s="60" t="s">
        <v>1</v>
      </c>
    </row>
    <row r="2" spans="1:2" x14ac:dyDescent="0.25">
      <c r="A2" s="5">
        <v>1</v>
      </c>
      <c r="B2" s="5">
        <v>140</v>
      </c>
    </row>
    <row r="3" spans="1:2" x14ac:dyDescent="0.25">
      <c r="A3" s="5">
        <v>2</v>
      </c>
      <c r="B3" s="5">
        <v>155</v>
      </c>
    </row>
    <row r="4" spans="1:2" x14ac:dyDescent="0.25">
      <c r="A4" s="5">
        <v>3</v>
      </c>
      <c r="B4" s="5">
        <v>145</v>
      </c>
    </row>
    <row r="5" spans="1:2" x14ac:dyDescent="0.25">
      <c r="A5" s="5">
        <v>4</v>
      </c>
      <c r="B5" s="5">
        <v>152</v>
      </c>
    </row>
    <row r="6" spans="1:2" x14ac:dyDescent="0.25">
      <c r="A6" s="5">
        <v>5</v>
      </c>
      <c r="B6" s="5">
        <v>155</v>
      </c>
    </row>
    <row r="7" spans="1:2" x14ac:dyDescent="0.25">
      <c r="A7" s="5">
        <v>6</v>
      </c>
      <c r="B7" s="5">
        <v>145</v>
      </c>
    </row>
    <row r="8" spans="1:2" x14ac:dyDescent="0.25">
      <c r="A8" s="5">
        <v>7</v>
      </c>
      <c r="B8" s="5">
        <v>147</v>
      </c>
    </row>
    <row r="9" spans="1:2" x14ac:dyDescent="0.25">
      <c r="A9" s="5">
        <v>8</v>
      </c>
      <c r="B9" s="5">
        <v>135</v>
      </c>
    </row>
    <row r="10" spans="1:2" x14ac:dyDescent="0.25">
      <c r="A10" s="5">
        <v>9</v>
      </c>
      <c r="B10" s="5">
        <v>137</v>
      </c>
    </row>
    <row r="11" spans="1:2" x14ac:dyDescent="0.25">
      <c r="A11" s="5">
        <v>10</v>
      </c>
      <c r="B11" s="5">
        <v>140</v>
      </c>
    </row>
    <row r="12" spans="1:2" x14ac:dyDescent="0.25">
      <c r="A12" s="5">
        <v>11</v>
      </c>
      <c r="B12" s="5">
        <v>120</v>
      </c>
    </row>
    <row r="13" spans="1:2" x14ac:dyDescent="0.25">
      <c r="A13" s="5">
        <v>12</v>
      </c>
      <c r="B13" s="5">
        <v>150</v>
      </c>
    </row>
    <row r="14" spans="1:2" x14ac:dyDescent="0.25">
      <c r="A14" s="5">
        <v>13</v>
      </c>
      <c r="B14" s="5">
        <v>161</v>
      </c>
    </row>
    <row r="15" spans="1:2" x14ac:dyDescent="0.25">
      <c r="A15" s="5">
        <v>14</v>
      </c>
      <c r="B15" s="5">
        <v>143</v>
      </c>
    </row>
    <row r="16" spans="1:2" x14ac:dyDescent="0.25">
      <c r="A16" s="5">
        <v>15</v>
      </c>
      <c r="B16" s="5">
        <v>149</v>
      </c>
    </row>
    <row r="17" spans="1:8" x14ac:dyDescent="0.25">
      <c r="A17" s="5">
        <v>16</v>
      </c>
      <c r="B17" s="5">
        <v>140</v>
      </c>
    </row>
    <row r="18" spans="1:8" x14ac:dyDescent="0.25">
      <c r="A18" s="5">
        <v>17</v>
      </c>
      <c r="B18" s="5">
        <v>142</v>
      </c>
    </row>
    <row r="19" spans="1:8" x14ac:dyDescent="0.25">
      <c r="A19" s="5">
        <v>18</v>
      </c>
      <c r="B19" s="5">
        <v>157</v>
      </c>
    </row>
    <row r="20" spans="1:8" x14ac:dyDescent="0.25">
      <c r="A20" s="5">
        <v>19</v>
      </c>
      <c r="B20" s="5">
        <v>148</v>
      </c>
    </row>
    <row r="21" spans="1:8" ht="15.75" thickBot="1" x14ac:dyDescent="0.3">
      <c r="A21" s="6">
        <v>20</v>
      </c>
      <c r="B21" s="6">
        <v>144</v>
      </c>
    </row>
    <row r="22" spans="1:8" ht="15.75" thickBot="1" x14ac:dyDescent="0.3">
      <c r="A22" s="312" t="s">
        <v>56</v>
      </c>
      <c r="B22" s="313"/>
      <c r="C22" s="313"/>
      <c r="D22" s="313"/>
      <c r="E22" s="313"/>
      <c r="F22" s="313"/>
      <c r="G22" s="313"/>
      <c r="H22" s="314"/>
    </row>
    <row r="23" spans="1:8" ht="15.75" thickBot="1" x14ac:dyDescent="0.3">
      <c r="A23" s="4" t="s">
        <v>0</v>
      </c>
      <c r="B23" s="2" t="s">
        <v>1</v>
      </c>
      <c r="C23" s="12">
        <v>2</v>
      </c>
      <c r="D23" s="17" t="s">
        <v>57</v>
      </c>
      <c r="E23" s="12">
        <v>4</v>
      </c>
      <c r="F23" s="46" t="s">
        <v>57</v>
      </c>
      <c r="G23" s="12">
        <v>5</v>
      </c>
      <c r="H23" s="46" t="s">
        <v>57</v>
      </c>
    </row>
    <row r="24" spans="1:8" x14ac:dyDescent="0.25">
      <c r="A24" s="5">
        <v>1</v>
      </c>
      <c r="B24" s="5">
        <v>140</v>
      </c>
      <c r="C24" s="11" t="s">
        <v>34</v>
      </c>
      <c r="D24" s="8" t="s">
        <v>34</v>
      </c>
      <c r="E24" s="11" t="s">
        <v>34</v>
      </c>
      <c r="F24" s="8" t="s">
        <v>34</v>
      </c>
      <c r="G24" s="11" t="s">
        <v>34</v>
      </c>
      <c r="H24" s="8" t="s">
        <v>34</v>
      </c>
    </row>
    <row r="25" spans="1:8" x14ac:dyDescent="0.25">
      <c r="A25" s="5">
        <v>2</v>
      </c>
      <c r="B25" s="5">
        <v>155</v>
      </c>
      <c r="C25" s="13" t="s">
        <v>34</v>
      </c>
      <c r="D25" s="14" t="s">
        <v>34</v>
      </c>
      <c r="E25" s="11" t="s">
        <v>34</v>
      </c>
      <c r="F25" s="8" t="s">
        <v>34</v>
      </c>
      <c r="G25" s="11" t="s">
        <v>34</v>
      </c>
      <c r="H25" s="8" t="s">
        <v>34</v>
      </c>
    </row>
    <row r="26" spans="1:8" x14ac:dyDescent="0.25">
      <c r="A26" s="5">
        <v>3</v>
      </c>
      <c r="B26" s="5">
        <v>145</v>
      </c>
      <c r="C26" s="13">
        <f>AVERAGE(B24:B25)</f>
        <v>147.5</v>
      </c>
      <c r="D26" s="14">
        <f t="shared" ref="D26:D35" si="0">ABS(B26-C26)</f>
        <v>2.5</v>
      </c>
      <c r="E26" s="11" t="s">
        <v>34</v>
      </c>
      <c r="F26" s="8" t="s">
        <v>34</v>
      </c>
      <c r="G26" s="11" t="s">
        <v>34</v>
      </c>
      <c r="H26" s="8" t="s">
        <v>34</v>
      </c>
    </row>
    <row r="27" spans="1:8" x14ac:dyDescent="0.25">
      <c r="A27" s="5">
        <v>4</v>
      </c>
      <c r="B27" s="7">
        <v>152</v>
      </c>
      <c r="C27" s="13">
        <f>AVERAGE(B25:B26)</f>
        <v>150</v>
      </c>
      <c r="D27" s="14">
        <f t="shared" si="0"/>
        <v>2</v>
      </c>
      <c r="E27" s="13" t="s">
        <v>34</v>
      </c>
      <c r="F27" s="14" t="s">
        <v>34</v>
      </c>
      <c r="G27" s="11" t="s">
        <v>34</v>
      </c>
      <c r="H27" s="8" t="s">
        <v>34</v>
      </c>
    </row>
    <row r="28" spans="1:8" x14ac:dyDescent="0.25">
      <c r="A28" s="5">
        <v>5</v>
      </c>
      <c r="B28" s="7">
        <v>155</v>
      </c>
      <c r="C28" s="13">
        <f>AVERAGE(B26:B27)</f>
        <v>148.5</v>
      </c>
      <c r="D28" s="14">
        <f t="shared" si="0"/>
        <v>6.5</v>
      </c>
      <c r="E28" s="13">
        <f t="shared" ref="E28:E43" si="1">AVERAGE(B24:B27)</f>
        <v>148</v>
      </c>
      <c r="F28" s="14">
        <f>ABS(B28-E28)</f>
        <v>7</v>
      </c>
      <c r="G28" s="13" t="s">
        <v>34</v>
      </c>
      <c r="H28" s="14" t="s">
        <v>34</v>
      </c>
    </row>
    <row r="29" spans="1:8" x14ac:dyDescent="0.25">
      <c r="A29" s="5">
        <v>6</v>
      </c>
      <c r="B29" s="7">
        <v>145</v>
      </c>
      <c r="C29" s="13">
        <f>AVERAGE(B27:B28)</f>
        <v>153.5</v>
      </c>
      <c r="D29" s="14">
        <f t="shared" si="0"/>
        <v>8.5</v>
      </c>
      <c r="E29" s="13">
        <f t="shared" si="1"/>
        <v>151.75</v>
      </c>
      <c r="F29" s="14">
        <f t="shared" ref="F29:F37" si="2">ABS(B29-E29)</f>
        <v>6.75</v>
      </c>
      <c r="G29" s="13">
        <f>AVERAGE(B25:B29)</f>
        <v>150.4</v>
      </c>
      <c r="H29" s="14">
        <f>ABS(B29-G29)</f>
        <v>5.4000000000000057</v>
      </c>
    </row>
    <row r="30" spans="1:8" x14ac:dyDescent="0.25">
      <c r="A30" s="5">
        <v>7</v>
      </c>
      <c r="B30" s="7">
        <v>147</v>
      </c>
      <c r="C30" s="13">
        <f t="shared" ref="C30:C35" si="3">AVERAGE(B28:B29)</f>
        <v>150</v>
      </c>
      <c r="D30" s="14">
        <f t="shared" si="0"/>
        <v>3</v>
      </c>
      <c r="E30" s="13">
        <f t="shared" si="1"/>
        <v>149.25</v>
      </c>
      <c r="F30" s="14">
        <f t="shared" si="2"/>
        <v>2.25</v>
      </c>
      <c r="G30" s="13">
        <f>AVERAGE(B26:B30)</f>
        <v>148.80000000000001</v>
      </c>
      <c r="H30" s="14">
        <f t="shared" ref="H30:H38" si="4">ABS(B30-G30)</f>
        <v>1.8000000000000114</v>
      </c>
    </row>
    <row r="31" spans="1:8" x14ac:dyDescent="0.25">
      <c r="A31" s="5">
        <v>8</v>
      </c>
      <c r="B31" s="7">
        <v>135</v>
      </c>
      <c r="C31" s="13">
        <f t="shared" si="3"/>
        <v>146</v>
      </c>
      <c r="D31" s="14">
        <f t="shared" si="0"/>
        <v>11</v>
      </c>
      <c r="E31" s="13">
        <f t="shared" si="1"/>
        <v>149.75</v>
      </c>
      <c r="F31" s="14">
        <f t="shared" si="2"/>
        <v>14.75</v>
      </c>
      <c r="G31" s="13">
        <f>AVERAGE(B27:B31)</f>
        <v>146.80000000000001</v>
      </c>
      <c r="H31" s="14">
        <f t="shared" si="4"/>
        <v>11.800000000000011</v>
      </c>
    </row>
    <row r="32" spans="1:8" x14ac:dyDescent="0.25">
      <c r="A32" s="5">
        <v>9</v>
      </c>
      <c r="B32" s="7">
        <v>137</v>
      </c>
      <c r="C32" s="13">
        <f t="shared" si="3"/>
        <v>141</v>
      </c>
      <c r="D32" s="14">
        <f t="shared" si="0"/>
        <v>4</v>
      </c>
      <c r="E32" s="13">
        <f t="shared" si="1"/>
        <v>145.5</v>
      </c>
      <c r="F32" s="14">
        <f t="shared" si="2"/>
        <v>8.5</v>
      </c>
      <c r="G32" s="13">
        <f>AVERAGE(B28:B32)</f>
        <v>143.80000000000001</v>
      </c>
      <c r="H32" s="14">
        <f t="shared" si="4"/>
        <v>6.8000000000000114</v>
      </c>
    </row>
    <row r="33" spans="1:24" x14ac:dyDescent="0.25">
      <c r="A33" s="5">
        <v>10</v>
      </c>
      <c r="B33" s="7">
        <v>140</v>
      </c>
      <c r="C33" s="13">
        <f t="shared" si="3"/>
        <v>136</v>
      </c>
      <c r="D33" s="14">
        <f t="shared" si="0"/>
        <v>4</v>
      </c>
      <c r="E33" s="13">
        <f t="shared" si="1"/>
        <v>141</v>
      </c>
      <c r="F33" s="14">
        <f t="shared" si="2"/>
        <v>1</v>
      </c>
      <c r="G33" s="13">
        <f>AVERAGE(B29:B33)</f>
        <v>140.80000000000001</v>
      </c>
      <c r="H33" s="14">
        <f t="shared" si="4"/>
        <v>0.80000000000001137</v>
      </c>
    </row>
    <row r="34" spans="1:24" x14ac:dyDescent="0.25">
      <c r="A34" s="5">
        <v>11</v>
      </c>
      <c r="B34" s="7">
        <v>120</v>
      </c>
      <c r="C34" s="13">
        <f t="shared" si="3"/>
        <v>138.5</v>
      </c>
      <c r="D34" s="14">
        <f t="shared" si="0"/>
        <v>18.5</v>
      </c>
      <c r="E34" s="13">
        <f t="shared" si="1"/>
        <v>139.75</v>
      </c>
      <c r="F34" s="14">
        <f t="shared" si="2"/>
        <v>19.75</v>
      </c>
      <c r="G34" s="13">
        <f t="shared" ref="G34:G43" si="5">AVERAGE(B29:B33)</f>
        <v>140.80000000000001</v>
      </c>
      <c r="H34" s="14">
        <f t="shared" si="4"/>
        <v>20.800000000000011</v>
      </c>
    </row>
    <row r="35" spans="1:24" x14ac:dyDescent="0.25">
      <c r="A35" s="5">
        <v>12</v>
      </c>
      <c r="B35" s="7">
        <v>150</v>
      </c>
      <c r="C35" s="13">
        <f t="shared" si="3"/>
        <v>130</v>
      </c>
      <c r="D35" s="14">
        <f t="shared" si="0"/>
        <v>20</v>
      </c>
      <c r="E35" s="13">
        <f t="shared" si="1"/>
        <v>133</v>
      </c>
      <c r="F35" s="14">
        <f t="shared" si="2"/>
        <v>17</v>
      </c>
      <c r="G35" s="13">
        <f t="shared" si="5"/>
        <v>135.80000000000001</v>
      </c>
      <c r="H35" s="14">
        <f t="shared" si="4"/>
        <v>14.199999999999989</v>
      </c>
    </row>
    <row r="36" spans="1:24" x14ac:dyDescent="0.25">
      <c r="A36" s="5">
        <v>13</v>
      </c>
      <c r="B36" s="7">
        <v>161</v>
      </c>
      <c r="C36" s="13">
        <f>AVERAGE(B34:B35)</f>
        <v>135</v>
      </c>
      <c r="D36" s="14">
        <f>ABS(B36-C36)</f>
        <v>26</v>
      </c>
      <c r="E36" s="13">
        <f t="shared" si="1"/>
        <v>136.75</v>
      </c>
      <c r="F36" s="14">
        <f t="shared" si="2"/>
        <v>24.25</v>
      </c>
      <c r="G36" s="13">
        <f t="shared" si="5"/>
        <v>136.4</v>
      </c>
      <c r="H36" s="14">
        <f t="shared" si="4"/>
        <v>24.599999999999994</v>
      </c>
    </row>
    <row r="37" spans="1:24" x14ac:dyDescent="0.25">
      <c r="A37" s="5">
        <v>14</v>
      </c>
      <c r="B37" s="7">
        <v>143</v>
      </c>
      <c r="C37" s="13">
        <f t="shared" ref="C37:C43" si="6">AVERAGE(B35:B36)</f>
        <v>155.5</v>
      </c>
      <c r="D37" s="14">
        <f t="shared" ref="D37:D43" si="7">ABS(B37-C37)</f>
        <v>12.5</v>
      </c>
      <c r="E37" s="13">
        <f t="shared" si="1"/>
        <v>142.75</v>
      </c>
      <c r="F37" s="14">
        <f t="shared" si="2"/>
        <v>0.25</v>
      </c>
      <c r="G37" s="13">
        <f t="shared" si="5"/>
        <v>141.6</v>
      </c>
      <c r="H37" s="14">
        <f t="shared" si="4"/>
        <v>1.4000000000000057</v>
      </c>
    </row>
    <row r="38" spans="1:24" x14ac:dyDescent="0.25">
      <c r="A38" s="5">
        <v>15</v>
      </c>
      <c r="B38" s="7">
        <v>149</v>
      </c>
      <c r="C38" s="13">
        <f t="shared" si="6"/>
        <v>152</v>
      </c>
      <c r="D38" s="14">
        <f t="shared" si="7"/>
        <v>3</v>
      </c>
      <c r="E38" s="13">
        <f t="shared" si="1"/>
        <v>143.5</v>
      </c>
      <c r="F38" s="14">
        <f t="shared" ref="F38:F43" si="8">ABS(B38-E38)</f>
        <v>5.5</v>
      </c>
      <c r="G38" s="13">
        <f t="shared" si="5"/>
        <v>142.80000000000001</v>
      </c>
      <c r="H38" s="14">
        <f t="shared" si="4"/>
        <v>6.1999999999999886</v>
      </c>
    </row>
    <row r="39" spans="1:24" x14ac:dyDescent="0.25">
      <c r="A39" s="5">
        <v>16</v>
      </c>
      <c r="B39" s="7">
        <v>140</v>
      </c>
      <c r="C39" s="13">
        <f t="shared" si="6"/>
        <v>146</v>
      </c>
      <c r="D39" s="14">
        <f t="shared" si="7"/>
        <v>6</v>
      </c>
      <c r="E39" s="13">
        <f t="shared" si="1"/>
        <v>150.75</v>
      </c>
      <c r="F39" s="14">
        <f t="shared" si="8"/>
        <v>10.75</v>
      </c>
      <c r="G39" s="13">
        <f t="shared" si="5"/>
        <v>144.6</v>
      </c>
      <c r="H39" s="14">
        <f>ABS(B39-G39)</f>
        <v>4.5999999999999943</v>
      </c>
    </row>
    <row r="40" spans="1:24" x14ac:dyDescent="0.25">
      <c r="A40" s="5">
        <v>17</v>
      </c>
      <c r="B40" s="7">
        <v>142</v>
      </c>
      <c r="C40" s="13">
        <f t="shared" si="6"/>
        <v>144.5</v>
      </c>
      <c r="D40" s="14">
        <f t="shared" si="7"/>
        <v>2.5</v>
      </c>
      <c r="E40" s="13">
        <f t="shared" si="1"/>
        <v>148.25</v>
      </c>
      <c r="F40" s="14">
        <f t="shared" si="8"/>
        <v>6.25</v>
      </c>
      <c r="G40" s="13">
        <f t="shared" si="5"/>
        <v>148.6</v>
      </c>
      <c r="H40" s="14">
        <f>ABS(B40-G40)</f>
        <v>6.5999999999999943</v>
      </c>
    </row>
    <row r="41" spans="1:24" x14ac:dyDescent="0.25">
      <c r="A41" s="5">
        <v>18</v>
      </c>
      <c r="B41" s="7">
        <v>157</v>
      </c>
      <c r="C41" s="13">
        <f t="shared" si="6"/>
        <v>141</v>
      </c>
      <c r="D41" s="14">
        <f t="shared" si="7"/>
        <v>16</v>
      </c>
      <c r="E41" s="13">
        <f t="shared" si="1"/>
        <v>143.5</v>
      </c>
      <c r="F41" s="14">
        <f t="shared" si="8"/>
        <v>13.5</v>
      </c>
      <c r="G41" s="13">
        <f t="shared" si="5"/>
        <v>147</v>
      </c>
      <c r="H41" s="14">
        <f>ABS(B41-G41)</f>
        <v>10</v>
      </c>
    </row>
    <row r="42" spans="1:24" x14ac:dyDescent="0.25">
      <c r="A42" s="5">
        <v>19</v>
      </c>
      <c r="B42" s="7">
        <v>148</v>
      </c>
      <c r="C42" s="13">
        <f t="shared" si="6"/>
        <v>149.5</v>
      </c>
      <c r="D42" s="14">
        <f t="shared" si="7"/>
        <v>1.5</v>
      </c>
      <c r="E42" s="13">
        <f t="shared" si="1"/>
        <v>147</v>
      </c>
      <c r="F42" s="14">
        <f t="shared" si="8"/>
        <v>1</v>
      </c>
      <c r="G42" s="13">
        <f t="shared" si="5"/>
        <v>146.19999999999999</v>
      </c>
      <c r="H42" s="14">
        <f>ABS(B42-G42)</f>
        <v>1.8000000000000114</v>
      </c>
    </row>
    <row r="43" spans="1:24" ht="15.75" thickBot="1" x14ac:dyDescent="0.3">
      <c r="A43" s="6">
        <v>20</v>
      </c>
      <c r="B43" s="9">
        <v>144</v>
      </c>
      <c r="C43" s="13">
        <f t="shared" si="6"/>
        <v>152.5</v>
      </c>
      <c r="D43" s="14">
        <f t="shared" si="7"/>
        <v>8.5</v>
      </c>
      <c r="E43" s="13">
        <f t="shared" si="1"/>
        <v>146.75</v>
      </c>
      <c r="F43" s="14">
        <f t="shared" si="8"/>
        <v>2.75</v>
      </c>
      <c r="G43" s="13">
        <f t="shared" si="5"/>
        <v>147.19999999999999</v>
      </c>
      <c r="H43" s="14">
        <f>ABS(B43-G43)</f>
        <v>3.1999999999999886</v>
      </c>
    </row>
    <row r="44" spans="1:24" ht="15.75" thickBot="1" x14ac:dyDescent="0.3">
      <c r="A44" s="306" t="s">
        <v>91</v>
      </c>
      <c r="B44" s="307"/>
      <c r="C44" s="304">
        <f>AVERAGE(D24:D33)</f>
        <v>5.1875</v>
      </c>
      <c r="D44" s="305"/>
      <c r="E44" s="304">
        <f>AVERAGE(F28:F33)</f>
        <v>6.708333333333333</v>
      </c>
      <c r="F44" s="305"/>
      <c r="G44" s="310">
        <f>AVERAGE(H28:H33)</f>
        <v>5.3200000000000101</v>
      </c>
      <c r="H44" s="311"/>
    </row>
    <row r="45" spans="1:24" ht="15.75" thickBot="1" x14ac:dyDescent="0.3">
      <c r="A45" s="306" t="s">
        <v>92</v>
      </c>
      <c r="B45" s="307"/>
      <c r="C45" s="304">
        <f>AVERAGE(D35:D43)</f>
        <v>10.666666666666666</v>
      </c>
      <c r="D45" s="305"/>
      <c r="E45" s="304">
        <f>AVERAGE(F37:F43)</f>
        <v>5.7142857142857144</v>
      </c>
      <c r="F45" s="305"/>
      <c r="G45" s="310">
        <f>AVERAGE(H38:H43)</f>
        <v>5.3999999999999959</v>
      </c>
      <c r="H45" s="311"/>
    </row>
    <row r="46" spans="1:24" ht="15.75" thickBot="1" x14ac:dyDescent="0.3">
      <c r="A46" s="306" t="s">
        <v>85</v>
      </c>
      <c r="B46" s="307"/>
      <c r="C46" s="304">
        <f>AVERAGE(D24:D43)</f>
        <v>8.6666666666666661</v>
      </c>
      <c r="D46" s="305"/>
      <c r="E46" s="304">
        <f>AVERAGE(F24:F43)</f>
        <v>8.828125</v>
      </c>
      <c r="F46" s="305"/>
      <c r="G46" s="310">
        <f>AVERAGE(H24:H43)</f>
        <v>8.0000000000000018</v>
      </c>
      <c r="H46" s="311"/>
    </row>
    <row r="47" spans="1:24" ht="15.75" thickBot="1" x14ac:dyDescent="0.3"/>
    <row r="48" spans="1:24" ht="15.75" thickBot="1" x14ac:dyDescent="0.3">
      <c r="A48" s="308" t="s">
        <v>8</v>
      </c>
      <c r="B48" s="309"/>
      <c r="C48" s="309"/>
      <c r="D48" s="309"/>
      <c r="E48" s="309"/>
      <c r="F48" s="309"/>
      <c r="G48" s="309"/>
      <c r="H48" s="309"/>
      <c r="I48" s="309"/>
      <c r="J48" s="309"/>
      <c r="K48" s="25"/>
      <c r="L48" s="25"/>
      <c r="M48" s="25"/>
      <c r="N48" s="25"/>
      <c r="O48" s="25"/>
      <c r="P48" s="25"/>
      <c r="Q48" s="25"/>
      <c r="R48" s="25"/>
      <c r="S48" s="45">
        <v>140</v>
      </c>
      <c r="T48" s="90">
        <f>S48</f>
        <v>140</v>
      </c>
      <c r="U48" s="25"/>
      <c r="V48" s="25"/>
      <c r="W48" s="25"/>
      <c r="X48" s="25"/>
    </row>
    <row r="49" spans="1:24" ht="15.75" thickBot="1" x14ac:dyDescent="0.3">
      <c r="A49" s="4" t="s">
        <v>0</v>
      </c>
      <c r="B49" s="2" t="s">
        <v>1</v>
      </c>
      <c r="C49" s="12">
        <v>0.2</v>
      </c>
      <c r="D49" s="46" t="s">
        <v>57</v>
      </c>
      <c r="E49" s="12">
        <v>0.4</v>
      </c>
      <c r="F49" s="46" t="s">
        <v>57</v>
      </c>
      <c r="G49" s="12">
        <v>0.5</v>
      </c>
      <c r="H49" s="46" t="s">
        <v>57</v>
      </c>
      <c r="I49" s="12">
        <v>0.3</v>
      </c>
      <c r="J49" s="85" t="s">
        <v>57</v>
      </c>
      <c r="K49" s="25"/>
      <c r="L49" s="25"/>
      <c r="M49" s="25"/>
      <c r="N49" s="25"/>
      <c r="O49" s="25"/>
      <c r="P49" s="25"/>
      <c r="Q49" s="25"/>
      <c r="R49" s="25"/>
      <c r="S49" s="11">
        <v>155</v>
      </c>
      <c r="T49" s="14">
        <f>T48+($C$49*(S48-T48))</f>
        <v>140</v>
      </c>
      <c r="U49" s="25"/>
      <c r="V49" s="25"/>
      <c r="W49" s="25"/>
      <c r="X49" s="25"/>
    </row>
    <row r="50" spans="1:24" x14ac:dyDescent="0.25">
      <c r="A50" s="5">
        <v>1</v>
      </c>
      <c r="B50" s="5">
        <v>140</v>
      </c>
      <c r="C50" s="11">
        <f>B50</f>
        <v>140</v>
      </c>
      <c r="D50" s="14">
        <f>ABS(B50-C50)</f>
        <v>0</v>
      </c>
      <c r="E50" s="11">
        <f>B50</f>
        <v>140</v>
      </c>
      <c r="F50" s="14">
        <f t="shared" ref="F50:F69" si="9">ABS(B50-E50)</f>
        <v>0</v>
      </c>
      <c r="G50" s="11">
        <f>B50</f>
        <v>140</v>
      </c>
      <c r="H50" s="14">
        <f t="shared" ref="H50:H69" si="10">ABS(B50-G50)</f>
        <v>0</v>
      </c>
      <c r="I50" s="11">
        <f>B50</f>
        <v>140</v>
      </c>
      <c r="J50" s="14">
        <f>ABS(B50-I50)</f>
        <v>0</v>
      </c>
      <c r="S50" s="11">
        <v>145</v>
      </c>
      <c r="T50" s="14">
        <f>T49+($C$49*(S49-T49))</f>
        <v>143</v>
      </c>
    </row>
    <row r="51" spans="1:24" x14ac:dyDescent="0.25">
      <c r="A51" s="5">
        <v>2</v>
      </c>
      <c r="B51" s="5">
        <v>155</v>
      </c>
      <c r="C51" s="13">
        <f t="shared" ref="C51:C59" si="11">C50+($C$49*(B50-C50))</f>
        <v>140</v>
      </c>
      <c r="D51" s="14">
        <f t="shared" ref="D51:D59" si="12">ABS(B51-C51)</f>
        <v>15</v>
      </c>
      <c r="E51" s="13">
        <f>E50+($E$49*(B50-E50))</f>
        <v>140</v>
      </c>
      <c r="F51" s="14">
        <f t="shared" si="9"/>
        <v>15</v>
      </c>
      <c r="G51" s="13">
        <f>G50+($G$49*(B50-G50))</f>
        <v>140</v>
      </c>
      <c r="H51" s="14">
        <f t="shared" si="10"/>
        <v>15</v>
      </c>
      <c r="I51" s="13">
        <f>I50+($I$49*(B50-I50))</f>
        <v>140</v>
      </c>
      <c r="J51" s="14">
        <f t="shared" ref="J51:J59" si="13">ABS(B51-I51)</f>
        <v>15</v>
      </c>
      <c r="S51" s="11">
        <v>152</v>
      </c>
      <c r="T51" s="14">
        <f t="shared" ref="T51:T57" si="14">T50+($C$49*(S50-T50))</f>
        <v>143.4</v>
      </c>
    </row>
    <row r="52" spans="1:24" x14ac:dyDescent="0.25">
      <c r="A52" s="5">
        <v>3</v>
      </c>
      <c r="B52" s="5">
        <v>145</v>
      </c>
      <c r="C52" s="13">
        <f>C51+($C$49*(B51-C51))</f>
        <v>143</v>
      </c>
      <c r="D52" s="14">
        <f t="shared" si="12"/>
        <v>2</v>
      </c>
      <c r="E52" s="13">
        <f t="shared" ref="E52:E59" si="15">E51+($E$49*(B51-E51))</f>
        <v>146</v>
      </c>
      <c r="F52" s="14">
        <f t="shared" si="9"/>
        <v>1</v>
      </c>
      <c r="G52" s="13">
        <f t="shared" ref="G52:G59" si="16">G51+($G$49*(B51-G51))</f>
        <v>147.5</v>
      </c>
      <c r="H52" s="14">
        <f t="shared" si="10"/>
        <v>2.5</v>
      </c>
      <c r="I52" s="13">
        <f t="shared" ref="I52:I59" si="17">I51+($I$49*(B51-I51))</f>
        <v>144.5</v>
      </c>
      <c r="J52" s="14">
        <f t="shared" si="13"/>
        <v>0.5</v>
      </c>
      <c r="S52" s="11">
        <v>155</v>
      </c>
      <c r="T52" s="14">
        <f t="shared" si="14"/>
        <v>145.12</v>
      </c>
    </row>
    <row r="53" spans="1:24" x14ac:dyDescent="0.25">
      <c r="A53" s="5">
        <v>4</v>
      </c>
      <c r="B53" s="7">
        <v>152</v>
      </c>
      <c r="C53" s="13">
        <f t="shared" si="11"/>
        <v>143.4</v>
      </c>
      <c r="D53" s="14">
        <f t="shared" si="12"/>
        <v>8.5999999999999943</v>
      </c>
      <c r="E53" s="13">
        <f t="shared" si="15"/>
        <v>145.6</v>
      </c>
      <c r="F53" s="14">
        <f t="shared" si="9"/>
        <v>6.4000000000000057</v>
      </c>
      <c r="G53" s="13">
        <f t="shared" si="16"/>
        <v>146.25</v>
      </c>
      <c r="H53" s="14">
        <f t="shared" si="10"/>
        <v>5.75</v>
      </c>
      <c r="I53" s="13">
        <f t="shared" si="17"/>
        <v>144.65</v>
      </c>
      <c r="J53" s="14">
        <f t="shared" si="13"/>
        <v>7.3499999999999943</v>
      </c>
      <c r="S53" s="11">
        <v>145</v>
      </c>
      <c r="T53" s="14">
        <f t="shared" si="14"/>
        <v>147.096</v>
      </c>
    </row>
    <row r="54" spans="1:24" x14ac:dyDescent="0.25">
      <c r="A54" s="5">
        <v>5</v>
      </c>
      <c r="B54" s="7">
        <v>155</v>
      </c>
      <c r="C54" s="13">
        <f t="shared" si="11"/>
        <v>145.12</v>
      </c>
      <c r="D54" s="14">
        <f t="shared" si="12"/>
        <v>9.8799999999999955</v>
      </c>
      <c r="E54" s="13">
        <f t="shared" si="15"/>
        <v>148.16</v>
      </c>
      <c r="F54" s="14">
        <f t="shared" si="9"/>
        <v>6.8400000000000034</v>
      </c>
      <c r="G54" s="13">
        <f t="shared" si="16"/>
        <v>149.125</v>
      </c>
      <c r="H54" s="14">
        <f t="shared" si="10"/>
        <v>5.875</v>
      </c>
      <c r="I54" s="13">
        <f t="shared" si="17"/>
        <v>146.85500000000002</v>
      </c>
      <c r="J54" s="14">
        <f t="shared" si="13"/>
        <v>8.1449999999999818</v>
      </c>
      <c r="S54" s="11">
        <v>147</v>
      </c>
      <c r="T54" s="14">
        <f t="shared" si="14"/>
        <v>146.67680000000001</v>
      </c>
    </row>
    <row r="55" spans="1:24" x14ac:dyDescent="0.25">
      <c r="A55" s="5">
        <v>6</v>
      </c>
      <c r="B55" s="7">
        <v>145</v>
      </c>
      <c r="C55" s="13">
        <f t="shared" si="11"/>
        <v>147.096</v>
      </c>
      <c r="D55" s="14">
        <f t="shared" si="12"/>
        <v>2.0960000000000036</v>
      </c>
      <c r="E55" s="13">
        <f t="shared" si="15"/>
        <v>150.89599999999999</v>
      </c>
      <c r="F55" s="14">
        <f t="shared" si="9"/>
        <v>5.8959999999999866</v>
      </c>
      <c r="G55" s="13">
        <f t="shared" si="16"/>
        <v>152.0625</v>
      </c>
      <c r="H55" s="14">
        <f t="shared" si="10"/>
        <v>7.0625</v>
      </c>
      <c r="I55" s="13">
        <f t="shared" si="17"/>
        <v>149.29850000000002</v>
      </c>
      <c r="J55" s="14">
        <f t="shared" si="13"/>
        <v>4.2985000000000184</v>
      </c>
      <c r="S55" s="11">
        <v>135</v>
      </c>
      <c r="T55" s="14">
        <f t="shared" si="14"/>
        <v>146.74144000000001</v>
      </c>
    </row>
    <row r="56" spans="1:24" x14ac:dyDescent="0.25">
      <c r="A56" s="5">
        <v>7</v>
      </c>
      <c r="B56" s="7">
        <v>147</v>
      </c>
      <c r="C56" s="13">
        <f t="shared" si="11"/>
        <v>146.67680000000001</v>
      </c>
      <c r="D56" s="14">
        <f t="shared" si="12"/>
        <v>0.32319999999998572</v>
      </c>
      <c r="E56" s="13">
        <f t="shared" si="15"/>
        <v>148.5376</v>
      </c>
      <c r="F56" s="14">
        <f t="shared" si="9"/>
        <v>1.5375999999999976</v>
      </c>
      <c r="G56" s="13">
        <f t="shared" si="16"/>
        <v>148.53125</v>
      </c>
      <c r="H56" s="14">
        <f t="shared" si="10"/>
        <v>1.53125</v>
      </c>
      <c r="I56" s="13">
        <f t="shared" si="17"/>
        <v>148.00895000000003</v>
      </c>
      <c r="J56" s="14">
        <f t="shared" si="13"/>
        <v>1.0089500000000271</v>
      </c>
      <c r="S56" s="11">
        <v>137</v>
      </c>
      <c r="T56" s="14">
        <f t="shared" si="14"/>
        <v>144.39315200000001</v>
      </c>
    </row>
    <row r="57" spans="1:24" x14ac:dyDescent="0.25">
      <c r="A57" s="5">
        <v>8</v>
      </c>
      <c r="B57" s="7">
        <v>135</v>
      </c>
      <c r="C57" s="13">
        <f t="shared" si="11"/>
        <v>146.74144000000001</v>
      </c>
      <c r="D57" s="14">
        <f t="shared" si="12"/>
        <v>11.741440000000011</v>
      </c>
      <c r="E57" s="13">
        <f t="shared" si="15"/>
        <v>147.92256</v>
      </c>
      <c r="F57" s="14">
        <f t="shared" si="9"/>
        <v>12.922560000000004</v>
      </c>
      <c r="G57" s="13">
        <f t="shared" si="16"/>
        <v>147.765625</v>
      </c>
      <c r="H57" s="14">
        <f t="shared" si="10"/>
        <v>12.765625</v>
      </c>
      <c r="I57" s="13">
        <f t="shared" si="17"/>
        <v>147.70626500000003</v>
      </c>
      <c r="J57" s="14">
        <f t="shared" si="13"/>
        <v>12.70626500000003</v>
      </c>
      <c r="S57" s="11">
        <v>140</v>
      </c>
      <c r="T57" s="14">
        <f t="shared" si="14"/>
        <v>142.9145216</v>
      </c>
    </row>
    <row r="58" spans="1:24" x14ac:dyDescent="0.25">
      <c r="A58" s="5">
        <v>9</v>
      </c>
      <c r="B58" s="7">
        <v>137</v>
      </c>
      <c r="C58" s="13">
        <f t="shared" si="11"/>
        <v>144.39315200000001</v>
      </c>
      <c r="D58" s="14">
        <f t="shared" si="12"/>
        <v>7.3931520000000148</v>
      </c>
      <c r="E58" s="13">
        <f t="shared" si="15"/>
        <v>142.753536</v>
      </c>
      <c r="F58" s="14">
        <f t="shared" si="9"/>
        <v>5.7535359999999969</v>
      </c>
      <c r="G58" s="13">
        <f t="shared" si="16"/>
        <v>141.3828125</v>
      </c>
      <c r="H58" s="14">
        <f t="shared" si="10"/>
        <v>4.3828125</v>
      </c>
      <c r="I58" s="13">
        <f t="shared" si="17"/>
        <v>143.89438550000003</v>
      </c>
      <c r="J58" s="14">
        <f t="shared" si="13"/>
        <v>6.8943855000000269</v>
      </c>
      <c r="S58" s="11">
        <v>120</v>
      </c>
      <c r="T58" s="14">
        <f>T57+($C$49*(S57-T57))</f>
        <v>142.33161727999999</v>
      </c>
    </row>
    <row r="59" spans="1:24" x14ac:dyDescent="0.25">
      <c r="A59" s="5">
        <v>10</v>
      </c>
      <c r="B59" s="7">
        <v>140</v>
      </c>
      <c r="C59" s="13">
        <f t="shared" si="11"/>
        <v>142.9145216</v>
      </c>
      <c r="D59" s="14">
        <f t="shared" si="12"/>
        <v>2.9145216000000005</v>
      </c>
      <c r="E59" s="13">
        <f t="shared" si="15"/>
        <v>140.4521216</v>
      </c>
      <c r="F59" s="14">
        <f t="shared" si="9"/>
        <v>0.45212159999999812</v>
      </c>
      <c r="G59" s="13">
        <f t="shared" si="16"/>
        <v>139.19140625</v>
      </c>
      <c r="H59" s="14">
        <f t="shared" si="10"/>
        <v>0.80859375</v>
      </c>
      <c r="I59" s="13">
        <f t="shared" si="17"/>
        <v>141.82606985000001</v>
      </c>
      <c r="J59" s="14">
        <f t="shared" si="13"/>
        <v>1.8260698500000103</v>
      </c>
      <c r="S59" s="11">
        <v>150</v>
      </c>
      <c r="T59" s="14">
        <f>T58+($C$49*(S58-T58))</f>
        <v>137.86529382399999</v>
      </c>
    </row>
    <row r="60" spans="1:24" x14ac:dyDescent="0.25">
      <c r="A60" s="5">
        <v>11</v>
      </c>
      <c r="B60" s="7">
        <v>120</v>
      </c>
      <c r="C60" s="13">
        <f>C59+($C$49*(B59-C59))</f>
        <v>142.33161727999999</v>
      </c>
      <c r="D60" s="14">
        <f>ABS(B60-C60)</f>
        <v>22.331617279999989</v>
      </c>
      <c r="E60" s="13">
        <f>E59+($C$49*(D59-E59))</f>
        <v>112.9446016</v>
      </c>
      <c r="F60" s="14">
        <f t="shared" si="9"/>
        <v>7.0553984000000014</v>
      </c>
      <c r="G60" s="13">
        <f>G59+($C$49*(F59-G59))</f>
        <v>111.44354932</v>
      </c>
      <c r="H60" s="14">
        <f t="shared" si="10"/>
        <v>8.5564506799999975</v>
      </c>
      <c r="I60" s="11">
        <f>B60</f>
        <v>120</v>
      </c>
      <c r="J60" s="14">
        <f>ABS(B60-I60)</f>
        <v>0</v>
      </c>
      <c r="S60" s="11">
        <v>161</v>
      </c>
      <c r="T60" s="14">
        <f t="shared" ref="T60:T67" si="18">T59+($C$49*(S59-T59))</f>
        <v>140.29223505919998</v>
      </c>
    </row>
    <row r="61" spans="1:24" x14ac:dyDescent="0.25">
      <c r="A61" s="5">
        <v>12</v>
      </c>
      <c r="B61" s="7">
        <v>150</v>
      </c>
      <c r="C61" s="13">
        <f>C60+($C$49*(B60-C60))</f>
        <v>137.86529382399999</v>
      </c>
      <c r="D61" s="14">
        <f t="shared" ref="D61:D69" si="19">ABS(B61-C61)</f>
        <v>12.134706176000009</v>
      </c>
      <c r="E61" s="13">
        <f>E60+($E$49*(B60-E60))</f>
        <v>115.76676096</v>
      </c>
      <c r="F61" s="14">
        <f t="shared" si="9"/>
        <v>34.233239040000001</v>
      </c>
      <c r="G61" s="13">
        <f>G60+($G$49*(B60-G60))</f>
        <v>115.72177465999999</v>
      </c>
      <c r="H61" s="14">
        <f t="shared" si="10"/>
        <v>34.278225340000006</v>
      </c>
      <c r="I61" s="13">
        <f>I60+($I$49*(B60-I60))</f>
        <v>120</v>
      </c>
      <c r="J61" s="14">
        <f t="shared" ref="J61:J69" si="20">ABS(B61-I61)</f>
        <v>30</v>
      </c>
      <c r="S61" s="11">
        <v>143</v>
      </c>
      <c r="T61" s="14">
        <f t="shared" si="18"/>
        <v>144.43378804736</v>
      </c>
    </row>
    <row r="62" spans="1:24" x14ac:dyDescent="0.25">
      <c r="A62" s="5">
        <v>13</v>
      </c>
      <c r="B62" s="7">
        <v>161</v>
      </c>
      <c r="C62" s="13">
        <f t="shared" ref="C62:C69" si="21">C61+($C$49*(B61-C61))</f>
        <v>140.29223505919998</v>
      </c>
      <c r="D62" s="14">
        <f t="shared" si="19"/>
        <v>20.707764940800018</v>
      </c>
      <c r="E62" s="13">
        <f t="shared" ref="E62:E69" si="22">E61+($E$49*(B61-E61))</f>
        <v>129.460056576</v>
      </c>
      <c r="F62" s="14">
        <f t="shared" si="9"/>
        <v>31.539943424000001</v>
      </c>
      <c r="G62" s="13">
        <f t="shared" ref="G62:G69" si="23">G61+($G$49*(B61-G61))</f>
        <v>132.86088733</v>
      </c>
      <c r="H62" s="14">
        <f t="shared" si="10"/>
        <v>28.139112670000003</v>
      </c>
      <c r="I62" s="13">
        <f t="shared" ref="I62:I69" si="24">I61+($I$49*(B61-I61))</f>
        <v>129</v>
      </c>
      <c r="J62" s="14">
        <f t="shared" si="20"/>
        <v>32</v>
      </c>
      <c r="S62" s="11">
        <v>149</v>
      </c>
      <c r="T62" s="14">
        <f t="shared" si="18"/>
        <v>144.14703043788799</v>
      </c>
    </row>
    <row r="63" spans="1:24" x14ac:dyDescent="0.25">
      <c r="A63" s="5">
        <v>14</v>
      </c>
      <c r="B63" s="7">
        <v>143</v>
      </c>
      <c r="C63" s="13">
        <f t="shared" si="21"/>
        <v>144.43378804736</v>
      </c>
      <c r="D63" s="14">
        <f t="shared" si="19"/>
        <v>1.4337880473599967</v>
      </c>
      <c r="E63" s="13">
        <f t="shared" si="22"/>
        <v>142.07603394559999</v>
      </c>
      <c r="F63" s="14">
        <f t="shared" si="9"/>
        <v>0.92396605440001167</v>
      </c>
      <c r="G63" s="13">
        <f t="shared" si="23"/>
        <v>146.93044366499998</v>
      </c>
      <c r="H63" s="14">
        <f t="shared" si="10"/>
        <v>3.9304436649999843</v>
      </c>
      <c r="I63" s="13">
        <f t="shared" si="24"/>
        <v>138.6</v>
      </c>
      <c r="J63" s="14">
        <f t="shared" si="20"/>
        <v>4.4000000000000057</v>
      </c>
      <c r="S63" s="11">
        <v>140</v>
      </c>
      <c r="T63" s="14">
        <f t="shared" si="18"/>
        <v>145.11762435031039</v>
      </c>
    </row>
    <row r="64" spans="1:24" x14ac:dyDescent="0.25">
      <c r="A64" s="5">
        <v>15</v>
      </c>
      <c r="B64" s="7">
        <v>149</v>
      </c>
      <c r="C64" s="13">
        <f t="shared" si="21"/>
        <v>144.14703043788799</v>
      </c>
      <c r="D64" s="14">
        <f t="shared" si="19"/>
        <v>4.8529695621120084</v>
      </c>
      <c r="E64" s="13">
        <f t="shared" si="22"/>
        <v>142.44562036735999</v>
      </c>
      <c r="F64" s="14">
        <f t="shared" si="9"/>
        <v>6.554379632640007</v>
      </c>
      <c r="G64" s="13">
        <f t="shared" si="23"/>
        <v>144.96522183249999</v>
      </c>
      <c r="H64" s="14">
        <f t="shared" si="10"/>
        <v>4.0347781675000078</v>
      </c>
      <c r="I64" s="13">
        <f t="shared" si="24"/>
        <v>139.91999999999999</v>
      </c>
      <c r="J64" s="14">
        <f t="shared" si="20"/>
        <v>9.0800000000000125</v>
      </c>
      <c r="S64" s="11">
        <v>142</v>
      </c>
      <c r="T64" s="14">
        <f t="shared" si="18"/>
        <v>144.0940994802483</v>
      </c>
    </row>
    <row r="65" spans="1:20" x14ac:dyDescent="0.25">
      <c r="A65" s="5">
        <v>16</v>
      </c>
      <c r="B65" s="7">
        <v>140</v>
      </c>
      <c r="C65" s="13">
        <f t="shared" si="21"/>
        <v>145.11762435031039</v>
      </c>
      <c r="D65" s="14">
        <f t="shared" si="19"/>
        <v>5.1176243503103933</v>
      </c>
      <c r="E65" s="13">
        <f t="shared" si="22"/>
        <v>145.06737222041599</v>
      </c>
      <c r="F65" s="14">
        <f t="shared" si="9"/>
        <v>5.0673722204159901</v>
      </c>
      <c r="G65" s="13">
        <f t="shared" si="23"/>
        <v>146.98261091625</v>
      </c>
      <c r="H65" s="14">
        <f t="shared" si="10"/>
        <v>6.9826109162499961</v>
      </c>
      <c r="I65" s="13">
        <f t="shared" si="24"/>
        <v>142.64400000000001</v>
      </c>
      <c r="J65" s="14">
        <f t="shared" si="20"/>
        <v>2.6440000000000055</v>
      </c>
      <c r="L65" s="159"/>
      <c r="S65" s="11">
        <v>157</v>
      </c>
      <c r="T65" s="14">
        <f t="shared" si="18"/>
        <v>143.67527958419865</v>
      </c>
    </row>
    <row r="66" spans="1:20" x14ac:dyDescent="0.25">
      <c r="A66" s="5">
        <v>17</v>
      </c>
      <c r="B66" s="7">
        <v>142</v>
      </c>
      <c r="C66" s="13">
        <f t="shared" si="21"/>
        <v>144.0940994802483</v>
      </c>
      <c r="D66" s="14">
        <f t="shared" si="19"/>
        <v>2.0940994802483033</v>
      </c>
      <c r="E66" s="13">
        <f t="shared" si="22"/>
        <v>143.04042333224959</v>
      </c>
      <c r="F66" s="14">
        <f t="shared" si="9"/>
        <v>1.0404233322495884</v>
      </c>
      <c r="G66" s="13">
        <f t="shared" si="23"/>
        <v>143.491305458125</v>
      </c>
      <c r="H66" s="14">
        <f t="shared" si="10"/>
        <v>1.491305458124998</v>
      </c>
      <c r="I66" s="13">
        <f t="shared" si="24"/>
        <v>141.85079999999999</v>
      </c>
      <c r="J66" s="14">
        <f t="shared" si="20"/>
        <v>0.14920000000000755</v>
      </c>
      <c r="S66" s="11">
        <v>148</v>
      </c>
      <c r="T66" s="14">
        <f t="shared" si="18"/>
        <v>146.34022366735891</v>
      </c>
    </row>
    <row r="67" spans="1:20" x14ac:dyDescent="0.25">
      <c r="A67" s="5">
        <v>18</v>
      </c>
      <c r="B67" s="7">
        <v>157</v>
      </c>
      <c r="C67" s="13">
        <f t="shared" si="21"/>
        <v>143.67527958419865</v>
      </c>
      <c r="D67" s="14">
        <f t="shared" si="19"/>
        <v>13.324720415801352</v>
      </c>
      <c r="E67" s="13">
        <f t="shared" si="22"/>
        <v>142.62425399934975</v>
      </c>
      <c r="F67" s="14">
        <f t="shared" si="9"/>
        <v>14.375746000650253</v>
      </c>
      <c r="G67" s="13">
        <f t="shared" si="23"/>
        <v>142.7456527290625</v>
      </c>
      <c r="H67" s="14">
        <f t="shared" si="10"/>
        <v>14.254347270937501</v>
      </c>
      <c r="I67" s="13">
        <f t="shared" si="24"/>
        <v>141.89555999999999</v>
      </c>
      <c r="J67" s="14">
        <f t="shared" si="20"/>
        <v>15.104440000000011</v>
      </c>
      <c r="S67" s="11">
        <v>144</v>
      </c>
      <c r="T67" s="14">
        <f t="shared" si="18"/>
        <v>146.67217893388712</v>
      </c>
    </row>
    <row r="68" spans="1:20" x14ac:dyDescent="0.25">
      <c r="A68" s="5">
        <v>19</v>
      </c>
      <c r="B68" s="7">
        <v>148</v>
      </c>
      <c r="C68" s="13">
        <f t="shared" si="21"/>
        <v>146.34022366735891</v>
      </c>
      <c r="D68" s="14">
        <f t="shared" si="19"/>
        <v>1.659776332641087</v>
      </c>
      <c r="E68" s="13">
        <f t="shared" si="22"/>
        <v>148.37455239960985</v>
      </c>
      <c r="F68" s="14">
        <f t="shared" si="9"/>
        <v>0.37455239960985409</v>
      </c>
      <c r="G68" s="13">
        <f t="shared" si="23"/>
        <v>149.87282636453125</v>
      </c>
      <c r="H68" s="14">
        <f t="shared" si="10"/>
        <v>1.8728263645312495</v>
      </c>
      <c r="I68" s="13">
        <f t="shared" si="24"/>
        <v>146.42689199999998</v>
      </c>
      <c r="J68" s="14">
        <f t="shared" si="20"/>
        <v>1.573108000000019</v>
      </c>
      <c r="S68" s="11">
        <v>21</v>
      </c>
      <c r="T68" s="8">
        <v>146.13774314710969</v>
      </c>
    </row>
    <row r="69" spans="1:20" ht="15.75" thickBot="1" x14ac:dyDescent="0.3">
      <c r="A69" s="6">
        <v>20</v>
      </c>
      <c r="B69" s="9">
        <v>144</v>
      </c>
      <c r="C69" s="13">
        <f t="shared" si="21"/>
        <v>146.67217893388712</v>
      </c>
      <c r="D69" s="14">
        <f t="shared" si="19"/>
        <v>2.6721789338871247</v>
      </c>
      <c r="E69" s="13">
        <f t="shared" si="22"/>
        <v>148.22473143976592</v>
      </c>
      <c r="F69" s="14">
        <f t="shared" si="9"/>
        <v>4.2247314397659181</v>
      </c>
      <c r="G69" s="13">
        <f t="shared" si="23"/>
        <v>148.93641318226562</v>
      </c>
      <c r="H69" s="14">
        <f t="shared" si="10"/>
        <v>4.9364131822656248</v>
      </c>
      <c r="I69" s="13">
        <f t="shared" si="24"/>
        <v>146.8988244</v>
      </c>
      <c r="J69" s="14">
        <f t="shared" si="20"/>
        <v>2.8988243999999952</v>
      </c>
      <c r="S69" s="11">
        <v>22</v>
      </c>
      <c r="T69" s="8">
        <v>145.71019451768774</v>
      </c>
    </row>
    <row r="70" spans="1:20" ht="15.75" thickBot="1" x14ac:dyDescent="0.3">
      <c r="A70" s="306" t="s">
        <v>91</v>
      </c>
      <c r="B70" s="307"/>
      <c r="C70" s="310">
        <f>AVERAGE(D50:D59)</f>
        <v>5.9948313600000009</v>
      </c>
      <c r="D70" s="311"/>
      <c r="E70" s="304">
        <f>AVERAGE(F50:F59)</f>
        <v>5.5801817599999994</v>
      </c>
      <c r="F70" s="305"/>
      <c r="G70" s="304">
        <f>AVERAGE(H50:H59)</f>
        <v>5.5675781249999998</v>
      </c>
      <c r="H70" s="305"/>
      <c r="I70" s="304">
        <f>AVERAGE(J50:J59)</f>
        <v>5.7729170350000087</v>
      </c>
      <c r="J70" s="305"/>
      <c r="S70" s="11">
        <v>23</v>
      </c>
      <c r="T70" s="8">
        <v>145.3681556141502</v>
      </c>
    </row>
    <row r="71" spans="1:20" ht="15.75" thickBot="1" x14ac:dyDescent="0.3">
      <c r="A71" s="306" t="s">
        <v>92</v>
      </c>
      <c r="B71" s="307"/>
      <c r="C71" s="310">
        <f>AVERAGE(D60:D69)</f>
        <v>8.6329245519160285</v>
      </c>
      <c r="D71" s="311"/>
      <c r="E71" s="304">
        <f>AVERAGE(F60:F69)</f>
        <v>10.538975194373162</v>
      </c>
      <c r="F71" s="305"/>
      <c r="G71" s="304">
        <f>AVERAGE(H60:H69)</f>
        <v>10.847651371460937</v>
      </c>
      <c r="H71" s="305"/>
      <c r="I71" s="304">
        <f>AVERAGE(J60:J69)</f>
        <v>9.784957240000006</v>
      </c>
      <c r="J71" s="305"/>
      <c r="S71" s="11">
        <v>24</v>
      </c>
      <c r="T71" s="8">
        <v>145.09452449132016</v>
      </c>
    </row>
    <row r="72" spans="1:20" ht="15.75" thickBot="1" x14ac:dyDescent="0.3">
      <c r="A72" s="306" t="s">
        <v>85</v>
      </c>
      <c r="B72" s="307"/>
      <c r="C72" s="310">
        <f>AVERAGE(D50:D69)</f>
        <v>7.3138779559580147</v>
      </c>
      <c r="D72" s="311"/>
      <c r="E72" s="304">
        <f>AVERAGE(F50:F69)</f>
        <v>8.0595784771865802</v>
      </c>
      <c r="F72" s="305"/>
      <c r="G72" s="304">
        <f>AVERAGE(H50:H69)</f>
        <v>8.2076147482304673</v>
      </c>
      <c r="H72" s="305"/>
      <c r="I72" s="304">
        <f>AVERAGE(J50:J69)</f>
        <v>7.7789371375000069</v>
      </c>
      <c r="J72" s="305"/>
      <c r="S72" s="27">
        <v>25</v>
      </c>
      <c r="T72" s="10">
        <v>144.87561959305611</v>
      </c>
    </row>
    <row r="73" spans="1:20" ht="15.75" thickBot="1" x14ac:dyDescent="0.3"/>
    <row r="74" spans="1:20" ht="15.75" thickBot="1" x14ac:dyDescent="0.3">
      <c r="A74" s="70" t="s">
        <v>0</v>
      </c>
      <c r="B74" s="160" t="s">
        <v>42</v>
      </c>
    </row>
    <row r="75" spans="1:20" x14ac:dyDescent="0.25">
      <c r="A75" s="67">
        <v>21</v>
      </c>
      <c r="B75" s="161">
        <f>C69+(C$49*(B69-C69))</f>
        <v>146.13774314710969</v>
      </c>
    </row>
    <row r="76" spans="1:20" x14ac:dyDescent="0.25">
      <c r="A76" s="62">
        <v>22</v>
      </c>
      <c r="B76" s="161">
        <f>B75+(C$49*(B69-B75))</f>
        <v>145.71019451768774</v>
      </c>
    </row>
    <row r="77" spans="1:20" x14ac:dyDescent="0.25">
      <c r="A77" s="62">
        <v>23</v>
      </c>
      <c r="B77" s="161">
        <f>B76+(C49*(B69-B76))</f>
        <v>145.3681556141502</v>
      </c>
    </row>
    <row r="78" spans="1:20" x14ac:dyDescent="0.25">
      <c r="A78" s="62">
        <v>24</v>
      </c>
      <c r="B78" s="161">
        <f>B77+(C$49*(B69-B77))</f>
        <v>145.09452449132016</v>
      </c>
    </row>
    <row r="79" spans="1:20" ht="15.75" thickBot="1" x14ac:dyDescent="0.3">
      <c r="A79" s="64">
        <v>25</v>
      </c>
      <c r="B79" s="162">
        <f>B78+(C$49*(B69-B78))</f>
        <v>144.87561959305611</v>
      </c>
    </row>
  </sheetData>
  <mergeCells count="29">
    <mergeCell ref="A22:H22"/>
    <mergeCell ref="A70:B70"/>
    <mergeCell ref="C70:D70"/>
    <mergeCell ref="E70:F70"/>
    <mergeCell ref="G70:H70"/>
    <mergeCell ref="A44:B44"/>
    <mergeCell ref="A45:B45"/>
    <mergeCell ref="C45:D45"/>
    <mergeCell ref="E45:F45"/>
    <mergeCell ref="G45:H45"/>
    <mergeCell ref="G44:H44"/>
    <mergeCell ref="E44:F44"/>
    <mergeCell ref="C44:D44"/>
    <mergeCell ref="G46:H46"/>
    <mergeCell ref="A46:B46"/>
    <mergeCell ref="C46:D46"/>
    <mergeCell ref="A72:B72"/>
    <mergeCell ref="C72:D72"/>
    <mergeCell ref="E72:F72"/>
    <mergeCell ref="G72:H72"/>
    <mergeCell ref="I72:J72"/>
    <mergeCell ref="E46:F46"/>
    <mergeCell ref="G71:H71"/>
    <mergeCell ref="A71:B71"/>
    <mergeCell ref="A48:J48"/>
    <mergeCell ref="I70:J70"/>
    <mergeCell ref="I71:J71"/>
    <mergeCell ref="C71:D71"/>
    <mergeCell ref="E71:F71"/>
  </mergeCells>
  <pageMargins left="0.7" right="0.7" top="0.75" bottom="0.75" header="0.3" footer="0.3"/>
  <pageSetup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31AB-0988-4E9C-B5F7-61120BF679A8}">
  <sheetPr codeName="Sheet14"/>
  <dimension ref="A1:L129"/>
  <sheetViews>
    <sheetView zoomScale="90" zoomScaleNormal="90" workbookViewId="0">
      <selection activeCell="L17" sqref="L17"/>
    </sheetView>
  </sheetViews>
  <sheetFormatPr defaultColWidth="12.42578125" defaultRowHeight="15" x14ac:dyDescent="0.25"/>
  <cols>
    <col min="1" max="1" width="15" style="1" bestFit="1" customWidth="1"/>
    <col min="2" max="7" width="12.42578125" style="1"/>
    <col min="8" max="8" width="18.42578125" style="1" bestFit="1" customWidth="1"/>
    <col min="9" max="16384" width="12.42578125" style="1"/>
  </cols>
  <sheetData>
    <row r="1" spans="1:2" ht="15.75" thickBot="1" x14ac:dyDescent="0.3">
      <c r="A1" s="92" t="s">
        <v>0</v>
      </c>
      <c r="B1" s="92" t="s">
        <v>2</v>
      </c>
    </row>
    <row r="2" spans="1:2" x14ac:dyDescent="0.25">
      <c r="A2" s="5">
        <v>1</v>
      </c>
      <c r="B2" s="5">
        <v>140</v>
      </c>
    </row>
    <row r="3" spans="1:2" x14ac:dyDescent="0.25">
      <c r="A3" s="5">
        <v>2</v>
      </c>
      <c r="B3" s="5">
        <v>155</v>
      </c>
    </row>
    <row r="4" spans="1:2" x14ac:dyDescent="0.25">
      <c r="A4" s="5">
        <v>3</v>
      </c>
      <c r="B4" s="5">
        <v>145</v>
      </c>
    </row>
    <row r="5" spans="1:2" x14ac:dyDescent="0.25">
      <c r="A5" s="5">
        <v>4</v>
      </c>
      <c r="B5" s="5">
        <v>152</v>
      </c>
    </row>
    <row r="6" spans="1:2" x14ac:dyDescent="0.25">
      <c r="A6" s="5">
        <v>5</v>
      </c>
      <c r="B6" s="5">
        <v>155</v>
      </c>
    </row>
    <row r="7" spans="1:2" x14ac:dyDescent="0.25">
      <c r="A7" s="5">
        <v>6</v>
      </c>
      <c r="B7" s="5">
        <v>145</v>
      </c>
    </row>
    <row r="8" spans="1:2" x14ac:dyDescent="0.25">
      <c r="A8" s="5">
        <v>7</v>
      </c>
      <c r="B8" s="5">
        <v>147</v>
      </c>
    </row>
    <row r="9" spans="1:2" x14ac:dyDescent="0.25">
      <c r="A9" s="5">
        <v>8</v>
      </c>
      <c r="B9" s="5">
        <v>135</v>
      </c>
    </row>
    <row r="10" spans="1:2" x14ac:dyDescent="0.25">
      <c r="A10" s="5">
        <v>9</v>
      </c>
      <c r="B10" s="5">
        <v>137</v>
      </c>
    </row>
    <row r="11" spans="1:2" x14ac:dyDescent="0.25">
      <c r="A11" s="5">
        <v>10</v>
      </c>
      <c r="B11" s="5">
        <v>140</v>
      </c>
    </row>
    <row r="12" spans="1:2" x14ac:dyDescent="0.25">
      <c r="A12" s="5">
        <v>11</v>
      </c>
      <c r="B12" s="5">
        <v>120</v>
      </c>
    </row>
    <row r="13" spans="1:2" x14ac:dyDescent="0.25">
      <c r="A13" s="5">
        <v>12</v>
      </c>
      <c r="B13" s="5">
        <v>150</v>
      </c>
    </row>
    <row r="14" spans="1:2" x14ac:dyDescent="0.25">
      <c r="A14" s="5">
        <v>13</v>
      </c>
      <c r="B14" s="5">
        <v>161</v>
      </c>
    </row>
    <row r="15" spans="1:2" x14ac:dyDescent="0.25">
      <c r="A15" s="5">
        <v>14</v>
      </c>
      <c r="B15" s="5">
        <v>143</v>
      </c>
    </row>
    <row r="16" spans="1:2" x14ac:dyDescent="0.25">
      <c r="A16" s="5">
        <v>15</v>
      </c>
      <c r="B16" s="5">
        <v>149</v>
      </c>
    </row>
    <row r="17" spans="1:12" x14ac:dyDescent="0.25">
      <c r="A17" s="5">
        <v>16</v>
      </c>
      <c r="B17" s="5">
        <v>140</v>
      </c>
    </row>
    <row r="18" spans="1:12" ht="15.75" thickBot="1" x14ac:dyDescent="0.3">
      <c r="A18" s="5">
        <v>17</v>
      </c>
      <c r="B18" s="5">
        <v>142</v>
      </c>
    </row>
    <row r="19" spans="1:12" ht="15.75" thickBot="1" x14ac:dyDescent="0.3">
      <c r="A19" s="5">
        <v>18</v>
      </c>
      <c r="B19" s="5">
        <v>157</v>
      </c>
      <c r="D19" s="93" t="s">
        <v>45</v>
      </c>
      <c r="E19" s="94" t="s">
        <v>46</v>
      </c>
    </row>
    <row r="20" spans="1:12" ht="15.75" thickBot="1" x14ac:dyDescent="0.3">
      <c r="A20" s="5">
        <v>19</v>
      </c>
      <c r="B20" s="5">
        <v>148</v>
      </c>
      <c r="D20" s="127">
        <v>0.9</v>
      </c>
      <c r="E20" s="128">
        <v>0.9</v>
      </c>
    </row>
    <row r="21" spans="1:12" ht="15.75" thickBot="1" x14ac:dyDescent="0.3">
      <c r="A21" s="5">
        <v>20</v>
      </c>
      <c r="B21" s="6">
        <v>144</v>
      </c>
    </row>
    <row r="22" spans="1:12" ht="15.75" thickBot="1" x14ac:dyDescent="0.3">
      <c r="A22" s="315" t="s">
        <v>49</v>
      </c>
      <c r="B22" s="316"/>
      <c r="C22" s="316"/>
      <c r="D22" s="316"/>
      <c r="E22" s="316"/>
      <c r="F22" s="316"/>
      <c r="G22" s="316"/>
      <c r="H22" s="317"/>
    </row>
    <row r="23" spans="1:12" ht="15.75" thickBot="1" x14ac:dyDescent="0.3">
      <c r="A23" s="4" t="s">
        <v>0</v>
      </c>
      <c r="B23" s="4" t="s">
        <v>2</v>
      </c>
      <c r="C23" s="26" t="s">
        <v>45</v>
      </c>
      <c r="D23" s="23" t="s">
        <v>46</v>
      </c>
      <c r="E23" s="23" t="s">
        <v>42</v>
      </c>
      <c r="F23" s="2" t="s">
        <v>43</v>
      </c>
      <c r="G23" s="2" t="s">
        <v>44</v>
      </c>
      <c r="H23" s="4" t="s">
        <v>33</v>
      </c>
    </row>
    <row r="24" spans="1:12" x14ac:dyDescent="0.25">
      <c r="A24" s="31">
        <v>1</v>
      </c>
      <c r="B24" s="31">
        <v>140</v>
      </c>
      <c r="C24" s="34">
        <v>0.1</v>
      </c>
      <c r="D24" s="34">
        <v>0.1</v>
      </c>
      <c r="E24" s="37">
        <f>B24</f>
        <v>140</v>
      </c>
      <c r="F24" s="34">
        <v>0</v>
      </c>
      <c r="G24" s="34">
        <f>E24+F24</f>
        <v>140</v>
      </c>
      <c r="H24" s="41">
        <f>ABS(B24-G24)</f>
        <v>0</v>
      </c>
    </row>
    <row r="25" spans="1:12" x14ac:dyDescent="0.25">
      <c r="A25" s="5">
        <v>2</v>
      </c>
      <c r="B25" s="5">
        <v>155</v>
      </c>
      <c r="C25" s="36">
        <v>0.2</v>
      </c>
      <c r="D25" s="36">
        <v>0.2</v>
      </c>
      <c r="E25" s="38">
        <f>($D$20*B24)+((1-$D$20)*(E24+F24))</f>
        <v>140</v>
      </c>
      <c r="F25" s="36">
        <f>SLOPE(B24:B25,A24:A25)</f>
        <v>15</v>
      </c>
      <c r="G25" s="36">
        <f t="shared" ref="G25:G33" si="0">E25+F25</f>
        <v>155</v>
      </c>
      <c r="H25" s="42">
        <f>ABS(B25-G25)</f>
        <v>0</v>
      </c>
      <c r="L25" s="29"/>
    </row>
    <row r="26" spans="1:12" x14ac:dyDescent="0.25">
      <c r="A26" s="5">
        <v>3</v>
      </c>
      <c r="B26" s="5">
        <v>145</v>
      </c>
      <c r="C26" s="36">
        <v>0.3</v>
      </c>
      <c r="D26" s="36">
        <v>0.3</v>
      </c>
      <c r="E26" s="38">
        <f t="shared" ref="E26:E33" si="1">($D$20*B25)+((1-$D$20)*(E25+F25))</f>
        <v>155</v>
      </c>
      <c r="F26" s="36">
        <f t="shared" ref="F26:F33" si="2">($E$20*(E26-E25))+((1-$E$20)*F25)</f>
        <v>15</v>
      </c>
      <c r="G26" s="36">
        <f t="shared" si="0"/>
        <v>170</v>
      </c>
      <c r="H26" s="42">
        <f>ABS(B26-G26)</f>
        <v>25</v>
      </c>
      <c r="L26" s="29"/>
    </row>
    <row r="27" spans="1:12" x14ac:dyDescent="0.25">
      <c r="A27" s="5">
        <v>4</v>
      </c>
      <c r="B27" s="5">
        <v>152</v>
      </c>
      <c r="C27" s="36">
        <v>0.4</v>
      </c>
      <c r="D27" s="36">
        <v>0.4</v>
      </c>
      <c r="E27" s="38">
        <f t="shared" si="1"/>
        <v>147.5</v>
      </c>
      <c r="F27" s="36">
        <f t="shared" si="2"/>
        <v>-5.25</v>
      </c>
      <c r="G27" s="36">
        <f t="shared" si="0"/>
        <v>142.25</v>
      </c>
      <c r="H27" s="42">
        <f>ABS(B27-G27)</f>
        <v>9.75</v>
      </c>
      <c r="L27" s="29"/>
    </row>
    <row r="28" spans="1:12" x14ac:dyDescent="0.25">
      <c r="A28" s="5">
        <v>5</v>
      </c>
      <c r="B28" s="5">
        <v>155</v>
      </c>
      <c r="C28" s="36">
        <v>0.5</v>
      </c>
      <c r="D28" s="36">
        <v>0.5</v>
      </c>
      <c r="E28" s="38">
        <f t="shared" si="1"/>
        <v>151.02500000000001</v>
      </c>
      <c r="F28" s="36">
        <f t="shared" si="2"/>
        <v>2.6475000000000053</v>
      </c>
      <c r="G28" s="36">
        <f t="shared" si="0"/>
        <v>153.67250000000001</v>
      </c>
      <c r="H28" s="42">
        <f t="shared" ref="H28:H33" si="3">ABS(B28-G28)</f>
        <v>1.3274999999999864</v>
      </c>
      <c r="L28" s="29"/>
    </row>
    <row r="29" spans="1:12" x14ac:dyDescent="0.25">
      <c r="A29" s="5">
        <v>6</v>
      </c>
      <c r="B29" s="5">
        <v>145</v>
      </c>
      <c r="C29" s="36">
        <v>0.6</v>
      </c>
      <c r="D29" s="36">
        <v>0.6</v>
      </c>
      <c r="E29" s="38">
        <f t="shared" si="1"/>
        <v>154.86725000000001</v>
      </c>
      <c r="F29" s="36">
        <f t="shared" si="2"/>
        <v>3.7227750000000066</v>
      </c>
      <c r="G29" s="36">
        <f t="shared" si="0"/>
        <v>158.59002500000003</v>
      </c>
      <c r="H29" s="42">
        <f t="shared" si="3"/>
        <v>13.590025000000026</v>
      </c>
      <c r="L29" s="29"/>
    </row>
    <row r="30" spans="1:12" x14ac:dyDescent="0.25">
      <c r="A30" s="5">
        <v>7</v>
      </c>
      <c r="B30" s="5">
        <v>147</v>
      </c>
      <c r="C30" s="36">
        <v>0.7</v>
      </c>
      <c r="D30" s="36">
        <v>0.7</v>
      </c>
      <c r="E30" s="38">
        <f t="shared" si="1"/>
        <v>146.3590025</v>
      </c>
      <c r="F30" s="36">
        <f t="shared" si="2"/>
        <v>-7.2851452500000082</v>
      </c>
      <c r="G30" s="36">
        <f t="shared" si="0"/>
        <v>139.07385725</v>
      </c>
      <c r="H30" s="42">
        <f t="shared" si="3"/>
        <v>7.9261427499999968</v>
      </c>
      <c r="L30" s="29"/>
    </row>
    <row r="31" spans="1:12" x14ac:dyDescent="0.25">
      <c r="A31" s="5">
        <v>8</v>
      </c>
      <c r="B31" s="5">
        <v>135</v>
      </c>
      <c r="C31" s="36">
        <v>0.8</v>
      </c>
      <c r="D31" s="36">
        <v>0.8</v>
      </c>
      <c r="E31" s="38">
        <f t="shared" si="1"/>
        <v>146.20738572499999</v>
      </c>
      <c r="F31" s="36">
        <f t="shared" si="2"/>
        <v>-0.86496962250000786</v>
      </c>
      <c r="G31" s="36">
        <f t="shared" si="0"/>
        <v>145.34241610249998</v>
      </c>
      <c r="H31" s="42">
        <f t="shared" si="3"/>
        <v>10.342416102499982</v>
      </c>
      <c r="L31" s="29"/>
    </row>
    <row r="32" spans="1:12" x14ac:dyDescent="0.25">
      <c r="A32" s="5">
        <v>9</v>
      </c>
      <c r="B32" s="5">
        <v>137</v>
      </c>
      <c r="C32" s="36">
        <v>0.9</v>
      </c>
      <c r="D32" s="36">
        <v>0.9</v>
      </c>
      <c r="E32" s="38">
        <f t="shared" si="1"/>
        <v>136.03424161025001</v>
      </c>
      <c r="F32" s="36">
        <f t="shared" si="2"/>
        <v>-9.24232666552499</v>
      </c>
      <c r="G32" s="36">
        <f t="shared" si="0"/>
        <v>126.79191494472502</v>
      </c>
      <c r="H32" s="42">
        <f t="shared" si="3"/>
        <v>10.208085055274978</v>
      </c>
      <c r="L32" s="29"/>
    </row>
    <row r="33" spans="1:12" ht="15.75" thickBot="1" x14ac:dyDescent="0.3">
      <c r="A33" s="6">
        <v>10</v>
      </c>
      <c r="B33" s="6">
        <v>140</v>
      </c>
      <c r="C33" s="40"/>
      <c r="D33" s="40"/>
      <c r="E33" s="39">
        <f t="shared" si="1"/>
        <v>135.9791914944725</v>
      </c>
      <c r="F33" s="40">
        <f t="shared" si="2"/>
        <v>-0.97377777075225291</v>
      </c>
      <c r="G33" s="40">
        <f t="shared" si="0"/>
        <v>135.00541372372024</v>
      </c>
      <c r="H33" s="43">
        <f t="shared" si="3"/>
        <v>4.9945862762797617</v>
      </c>
      <c r="L33" s="29"/>
    </row>
    <row r="34" spans="1:12" x14ac:dyDescent="0.25">
      <c r="A34" s="5">
        <v>11</v>
      </c>
      <c r="B34" s="5">
        <v>120</v>
      </c>
      <c r="C34" s="38"/>
      <c r="D34" s="36"/>
      <c r="E34" s="38">
        <v>257.43</v>
      </c>
      <c r="F34" s="36">
        <v>-5.5697000000000001</v>
      </c>
      <c r="G34" s="32">
        <f>E34+F34</f>
        <v>251.8603</v>
      </c>
      <c r="H34" s="42">
        <f>ABS(B34-G34)</f>
        <v>131.8603</v>
      </c>
    </row>
    <row r="35" spans="1:12" x14ac:dyDescent="0.25">
      <c r="A35" s="5">
        <v>12</v>
      </c>
      <c r="B35" s="5">
        <v>150</v>
      </c>
      <c r="C35" s="38"/>
      <c r="D35" s="36"/>
      <c r="E35" s="38">
        <f>($D$20*B34)+((1-$D$20)*(E34+F34))</f>
        <v>133.18602999999999</v>
      </c>
      <c r="F35" s="36">
        <f>($E$20*(E35-E34))+((1-$E$20)*F34)</f>
        <v>-112.37654300000003</v>
      </c>
      <c r="G35" s="32">
        <f t="shared" ref="G35:G43" si="4">E35+F35</f>
        <v>20.809486999999962</v>
      </c>
      <c r="H35" s="42">
        <f t="shared" ref="H35:H43" si="5">ABS(B35-G35)</f>
        <v>129.19051300000004</v>
      </c>
    </row>
    <row r="36" spans="1:12" x14ac:dyDescent="0.25">
      <c r="A36" s="5">
        <v>13</v>
      </c>
      <c r="B36" s="5">
        <v>161</v>
      </c>
      <c r="C36" s="38"/>
      <c r="D36" s="36"/>
      <c r="E36" s="38">
        <f t="shared" ref="E36:E43" si="6">($D$20*B35)+((1-$D$20)*(E35+F35))</f>
        <v>137.08094869999999</v>
      </c>
      <c r="F36" s="36">
        <f t="shared" ref="F36:F43" si="7">($E$20*(E36-E35))+((1-$E$20)*F35)</f>
        <v>-7.7322274699999962</v>
      </c>
      <c r="G36" s="32">
        <f t="shared" si="4"/>
        <v>129.34872123</v>
      </c>
      <c r="H36" s="42">
        <f t="shared" si="5"/>
        <v>31.651278770000005</v>
      </c>
    </row>
    <row r="37" spans="1:12" x14ac:dyDescent="0.25">
      <c r="A37" s="5">
        <v>14</v>
      </c>
      <c r="B37" s="5">
        <v>143</v>
      </c>
      <c r="C37" s="38"/>
      <c r="D37" s="36"/>
      <c r="E37" s="38">
        <f t="shared" si="6"/>
        <v>157.834872123</v>
      </c>
      <c r="F37" s="36">
        <f t="shared" si="7"/>
        <v>17.905308333700006</v>
      </c>
      <c r="G37" s="32">
        <f t="shared" si="4"/>
        <v>175.74018045669999</v>
      </c>
      <c r="H37" s="42">
        <f t="shared" si="5"/>
        <v>32.740180456699989</v>
      </c>
    </row>
    <row r="38" spans="1:12" x14ac:dyDescent="0.25">
      <c r="A38" s="5">
        <v>15</v>
      </c>
      <c r="B38" s="5">
        <v>149</v>
      </c>
      <c r="C38" s="38"/>
      <c r="D38" s="36"/>
      <c r="E38" s="38">
        <f t="shared" si="6"/>
        <v>146.27401804567</v>
      </c>
      <c r="F38" s="36">
        <f t="shared" si="7"/>
        <v>-8.6142378362269927</v>
      </c>
      <c r="G38" s="32">
        <f t="shared" si="4"/>
        <v>137.659780209443</v>
      </c>
      <c r="H38" s="42">
        <f t="shared" si="5"/>
        <v>11.340219790557001</v>
      </c>
    </row>
    <row r="39" spans="1:12" x14ac:dyDescent="0.25">
      <c r="A39" s="5">
        <v>16</v>
      </c>
      <c r="B39" s="5">
        <v>140</v>
      </c>
      <c r="C39" s="38"/>
      <c r="D39" s="36"/>
      <c r="E39" s="38">
        <f t="shared" si="6"/>
        <v>147.86597802094428</v>
      </c>
      <c r="F39" s="36">
        <f t="shared" si="7"/>
        <v>0.57134019412415149</v>
      </c>
      <c r="G39" s="32">
        <f t="shared" si="4"/>
        <v>148.43731821506844</v>
      </c>
      <c r="H39" s="42">
        <f t="shared" si="5"/>
        <v>8.4373182150684443</v>
      </c>
    </row>
    <row r="40" spans="1:12" x14ac:dyDescent="0.25">
      <c r="A40" s="5">
        <v>17</v>
      </c>
      <c r="B40" s="5">
        <v>142</v>
      </c>
      <c r="C40" s="38"/>
      <c r="D40" s="36"/>
      <c r="E40" s="38">
        <f t="shared" si="6"/>
        <v>140.84373182150685</v>
      </c>
      <c r="F40" s="36">
        <f t="shared" si="7"/>
        <v>-6.2628875600812748</v>
      </c>
      <c r="G40" s="32">
        <f t="shared" si="4"/>
        <v>134.58084426142557</v>
      </c>
      <c r="H40" s="42">
        <f t="shared" si="5"/>
        <v>7.4191557385744318</v>
      </c>
    </row>
    <row r="41" spans="1:12" x14ac:dyDescent="0.25">
      <c r="A41" s="5">
        <v>18</v>
      </c>
      <c r="B41" s="5">
        <v>157</v>
      </c>
      <c r="C41" s="38"/>
      <c r="D41" s="36"/>
      <c r="E41" s="38">
        <f t="shared" si="6"/>
        <v>141.25808442614255</v>
      </c>
      <c r="F41" s="36">
        <f t="shared" si="7"/>
        <v>-0.25337141183600159</v>
      </c>
      <c r="G41" s="32">
        <f t="shared" si="4"/>
        <v>141.00471301430653</v>
      </c>
      <c r="H41" s="42">
        <f t="shared" si="5"/>
        <v>15.995286985693468</v>
      </c>
    </row>
    <row r="42" spans="1:12" x14ac:dyDescent="0.25">
      <c r="A42" s="5">
        <v>19</v>
      </c>
      <c r="B42" s="5">
        <v>148</v>
      </c>
      <c r="C42" s="38"/>
      <c r="D42" s="36"/>
      <c r="E42" s="38">
        <f t="shared" si="6"/>
        <v>155.40047130143066</v>
      </c>
      <c r="F42" s="36">
        <f t="shared" si="7"/>
        <v>12.7028110465757</v>
      </c>
      <c r="G42" s="32">
        <f t="shared" si="4"/>
        <v>168.10328234800636</v>
      </c>
      <c r="H42" s="42">
        <f t="shared" si="5"/>
        <v>20.10328234800636</v>
      </c>
    </row>
    <row r="43" spans="1:12" ht="15.75" thickBot="1" x14ac:dyDescent="0.3">
      <c r="A43" s="6">
        <v>20</v>
      </c>
      <c r="B43" s="6">
        <v>144</v>
      </c>
      <c r="C43" s="39"/>
      <c r="D43" s="40"/>
      <c r="E43" s="39">
        <f t="shared" si="6"/>
        <v>150.01032823480065</v>
      </c>
      <c r="F43" s="40">
        <f t="shared" si="7"/>
        <v>-3.5808476553094337</v>
      </c>
      <c r="G43" s="33">
        <f t="shared" si="4"/>
        <v>146.42948057949121</v>
      </c>
      <c r="H43" s="43">
        <f t="shared" si="5"/>
        <v>2.4294805794912122</v>
      </c>
    </row>
    <row r="44" spans="1:12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9">
        <f>AVERAGE(H34:H43)</f>
        <v>39.1167015884091</v>
      </c>
    </row>
    <row r="45" spans="1:12" x14ac:dyDescent="0.25">
      <c r="A45" s="24"/>
      <c r="B45" s="24"/>
      <c r="C45" s="51"/>
      <c r="D45" s="51"/>
      <c r="E45" s="51"/>
      <c r="F45" s="51"/>
      <c r="G45" s="51"/>
      <c r="H45" s="51"/>
    </row>
    <row r="46" spans="1:12" ht="15.75" thickBot="1" x14ac:dyDescent="0.3">
      <c r="J46" s="15"/>
    </row>
    <row r="47" spans="1:12" ht="15.75" thickBot="1" x14ac:dyDescent="0.3">
      <c r="A47" s="315" t="s">
        <v>47</v>
      </c>
      <c r="B47" s="316"/>
      <c r="C47" s="316"/>
      <c r="D47" s="317"/>
    </row>
    <row r="48" spans="1:12" ht="15.75" thickBot="1" x14ac:dyDescent="0.3">
      <c r="A48" s="26" t="s">
        <v>45</v>
      </c>
      <c r="B48" s="2" t="s">
        <v>46</v>
      </c>
      <c r="C48" s="4" t="s">
        <v>6</v>
      </c>
      <c r="D48" s="4" t="s">
        <v>58</v>
      </c>
    </row>
    <row r="49" spans="1:4" x14ac:dyDescent="0.25">
      <c r="A49" s="11">
        <v>0.1</v>
      </c>
      <c r="B49" s="7">
        <v>0.1</v>
      </c>
      <c r="C49" s="42">
        <v>44.667882062682125</v>
      </c>
      <c r="D49" s="42"/>
    </row>
    <row r="50" spans="1:4" x14ac:dyDescent="0.25">
      <c r="A50" s="11">
        <v>0.1</v>
      </c>
      <c r="B50" s="7">
        <v>0.2</v>
      </c>
      <c r="C50" s="42">
        <v>45.385046689736512</v>
      </c>
      <c r="D50" s="42"/>
    </row>
    <row r="51" spans="1:4" x14ac:dyDescent="0.25">
      <c r="A51" s="11">
        <v>0.1</v>
      </c>
      <c r="B51" s="7">
        <v>0.3</v>
      </c>
      <c r="C51" s="42">
        <v>46.611317294905746</v>
      </c>
      <c r="D51" s="42"/>
    </row>
    <row r="52" spans="1:4" x14ac:dyDescent="0.25">
      <c r="A52" s="11">
        <v>0.1</v>
      </c>
      <c r="B52" s="7">
        <v>0.4</v>
      </c>
      <c r="C52" s="42">
        <v>48.381316922579799</v>
      </c>
      <c r="D52" s="42"/>
    </row>
    <row r="53" spans="1:4" x14ac:dyDescent="0.25">
      <c r="A53" s="11">
        <v>0.1</v>
      </c>
      <c r="B53" s="7">
        <v>0.5</v>
      </c>
      <c r="C53" s="42">
        <v>50.337873842413877</v>
      </c>
      <c r="D53" s="42"/>
    </row>
    <row r="54" spans="1:4" x14ac:dyDescent="0.25">
      <c r="A54" s="11">
        <v>0.1</v>
      </c>
      <c r="B54" s="7">
        <v>0.6</v>
      </c>
      <c r="C54" s="42">
        <v>52.472558582779961</v>
      </c>
      <c r="D54" s="42"/>
    </row>
    <row r="55" spans="1:4" x14ac:dyDescent="0.25">
      <c r="A55" s="11">
        <v>0.1</v>
      </c>
      <c r="B55" s="7">
        <v>0.7</v>
      </c>
      <c r="C55" s="42">
        <v>55.076642503202251</v>
      </c>
      <c r="D55" s="42"/>
    </row>
    <row r="56" spans="1:4" x14ac:dyDescent="0.25">
      <c r="A56" s="11">
        <v>0.1</v>
      </c>
      <c r="B56" s="7">
        <v>0.8</v>
      </c>
      <c r="C56" s="42">
        <v>57.225015569361211</v>
      </c>
      <c r="D56" s="42"/>
    </row>
    <row r="57" spans="1:4" x14ac:dyDescent="0.25">
      <c r="A57" s="11">
        <v>0.1</v>
      </c>
      <c r="B57" s="7">
        <v>0.9</v>
      </c>
      <c r="C57" s="42">
        <v>58.777074974411107</v>
      </c>
      <c r="D57" s="42"/>
    </row>
    <row r="58" spans="1:4" x14ac:dyDescent="0.25">
      <c r="A58" s="11">
        <v>0.2</v>
      </c>
      <c r="B58" s="7">
        <v>0.1</v>
      </c>
      <c r="C58" s="42">
        <v>37.995009375141493</v>
      </c>
      <c r="D58" s="42"/>
    </row>
    <row r="59" spans="1:4" x14ac:dyDescent="0.25">
      <c r="A59" s="11">
        <v>0.2</v>
      </c>
      <c r="B59" s="7">
        <v>0.2</v>
      </c>
      <c r="C59" s="42">
        <v>41.043108841036556</v>
      </c>
      <c r="D59" s="42"/>
    </row>
    <row r="60" spans="1:4" x14ac:dyDescent="0.25">
      <c r="A60" s="11">
        <v>0.2</v>
      </c>
      <c r="B60" s="7">
        <v>0.3</v>
      </c>
      <c r="C60" s="42">
        <v>45.206574848889503</v>
      </c>
      <c r="D60" s="42"/>
    </row>
    <row r="61" spans="1:4" x14ac:dyDescent="0.25">
      <c r="A61" s="11">
        <v>0.2</v>
      </c>
      <c r="B61" s="7">
        <v>0.4</v>
      </c>
      <c r="C61" s="42">
        <v>47.461034944029379</v>
      </c>
      <c r="D61" s="42"/>
    </row>
    <row r="62" spans="1:4" x14ac:dyDescent="0.25">
      <c r="A62" s="11">
        <v>0.2</v>
      </c>
      <c r="B62" s="7">
        <v>0.5</v>
      </c>
      <c r="C62" s="42">
        <v>48.13772944320138</v>
      </c>
      <c r="D62" s="42"/>
    </row>
    <row r="63" spans="1:4" x14ac:dyDescent="0.25">
      <c r="A63" s="11">
        <v>0.2</v>
      </c>
      <c r="B63" s="7">
        <v>0.6</v>
      </c>
      <c r="C63" s="42">
        <v>48.909084912552004</v>
      </c>
      <c r="D63" s="42"/>
    </row>
    <row r="64" spans="1:4" x14ac:dyDescent="0.25">
      <c r="A64" s="11">
        <v>0.2</v>
      </c>
      <c r="B64" s="7">
        <v>0.7</v>
      </c>
      <c r="C64" s="42">
        <v>48.895376964759819</v>
      </c>
      <c r="D64" s="42"/>
    </row>
    <row r="65" spans="1:4" x14ac:dyDescent="0.25">
      <c r="A65" s="11">
        <v>0.2</v>
      </c>
      <c r="B65" s="7">
        <v>0.8</v>
      </c>
      <c r="C65" s="42">
        <v>48.85886640583611</v>
      </c>
      <c r="D65" s="42"/>
    </row>
    <row r="66" spans="1:4" x14ac:dyDescent="0.25">
      <c r="A66" s="11">
        <v>0.2</v>
      </c>
      <c r="B66" s="7">
        <v>0.9</v>
      </c>
      <c r="C66" s="42">
        <v>48.118548492422732</v>
      </c>
      <c r="D66" s="42"/>
    </row>
    <row r="67" spans="1:4" x14ac:dyDescent="0.25">
      <c r="A67" s="11">
        <v>0.3</v>
      </c>
      <c r="B67" s="7">
        <v>0.1</v>
      </c>
      <c r="C67" s="42">
        <v>34.10625962399552</v>
      </c>
      <c r="D67" s="42"/>
    </row>
    <row r="68" spans="1:4" x14ac:dyDescent="0.25">
      <c r="A68" s="11">
        <v>0.3</v>
      </c>
      <c r="B68" s="7">
        <v>0.2</v>
      </c>
      <c r="C68" s="42">
        <v>37.806184454675019</v>
      </c>
      <c r="D68" s="42"/>
    </row>
    <row r="69" spans="1:4" x14ac:dyDescent="0.25">
      <c r="A69" s="11">
        <v>0.3</v>
      </c>
      <c r="B69" s="7">
        <v>0.3</v>
      </c>
      <c r="C69" s="42">
        <v>39.65646015092419</v>
      </c>
      <c r="D69" s="42"/>
    </row>
    <row r="70" spans="1:4" x14ac:dyDescent="0.25">
      <c r="A70" s="11">
        <v>0.3</v>
      </c>
      <c r="B70" s="7">
        <v>0.4</v>
      </c>
      <c r="C70" s="42">
        <v>41.706853054552241</v>
      </c>
      <c r="D70" s="42"/>
    </row>
    <row r="71" spans="1:4" x14ac:dyDescent="0.25">
      <c r="A71" s="11">
        <v>0.3</v>
      </c>
      <c r="B71" s="7">
        <v>0.5</v>
      </c>
      <c r="C71" s="42">
        <v>42.055770508456661</v>
      </c>
      <c r="D71" s="42"/>
    </row>
    <row r="72" spans="1:4" x14ac:dyDescent="0.25">
      <c r="A72" s="11">
        <v>0.3</v>
      </c>
      <c r="B72" s="7">
        <v>0.6</v>
      </c>
      <c r="C72" s="42">
        <v>41.824551077138054</v>
      </c>
      <c r="D72" s="42"/>
    </row>
    <row r="73" spans="1:4" x14ac:dyDescent="0.25">
      <c r="A73" s="11">
        <v>0.3</v>
      </c>
      <c r="B73" s="7">
        <v>0.7</v>
      </c>
      <c r="C73" s="42">
        <v>42.120206962544117</v>
      </c>
      <c r="D73" s="42"/>
    </row>
    <row r="74" spans="1:4" x14ac:dyDescent="0.25">
      <c r="A74" s="11">
        <v>0.3</v>
      </c>
      <c r="B74" s="7">
        <v>0.8</v>
      </c>
      <c r="C74" s="42">
        <v>42.328705591840105</v>
      </c>
      <c r="D74" s="42"/>
    </row>
    <row r="75" spans="1:4" x14ac:dyDescent="0.25">
      <c r="A75" s="11">
        <v>0.3</v>
      </c>
      <c r="B75" s="7">
        <v>0.9</v>
      </c>
      <c r="C75" s="42">
        <v>42.899719925995079</v>
      </c>
      <c r="D75" s="42"/>
    </row>
    <row r="76" spans="1:4" x14ac:dyDescent="0.25">
      <c r="A76" s="11">
        <v>0.4</v>
      </c>
      <c r="B76" s="7">
        <v>0.1</v>
      </c>
      <c r="C76" s="42">
        <v>30.3291415085469</v>
      </c>
      <c r="D76" s="42"/>
    </row>
    <row r="77" spans="1:4" x14ac:dyDescent="0.25">
      <c r="A77" s="11">
        <v>0.4</v>
      </c>
      <c r="B77" s="7">
        <v>0.2</v>
      </c>
      <c r="C77" s="42">
        <v>34.455106793723175</v>
      </c>
      <c r="D77" s="42"/>
    </row>
    <row r="78" spans="1:4" x14ac:dyDescent="0.25">
      <c r="A78" s="11">
        <v>0.4</v>
      </c>
      <c r="B78" s="7">
        <v>0.3</v>
      </c>
      <c r="C78" s="42">
        <v>36.477308991011355</v>
      </c>
      <c r="D78" s="42"/>
    </row>
    <row r="79" spans="1:4" x14ac:dyDescent="0.25">
      <c r="A79" s="11">
        <v>0.4</v>
      </c>
      <c r="B79" s="7">
        <v>0.4</v>
      </c>
      <c r="C79" s="42">
        <v>36.415986232052482</v>
      </c>
      <c r="D79" s="42"/>
    </row>
    <row r="80" spans="1:4" x14ac:dyDescent="0.25">
      <c r="A80" s="11">
        <v>0.4</v>
      </c>
      <c r="B80" s="7">
        <v>0.5</v>
      </c>
      <c r="C80" s="42">
        <v>36.669789955589124</v>
      </c>
      <c r="D80" s="42"/>
    </row>
    <row r="81" spans="1:4" x14ac:dyDescent="0.25">
      <c r="A81" s="11">
        <v>0.4</v>
      </c>
      <c r="B81" s="7">
        <v>0.6</v>
      </c>
      <c r="C81" s="42">
        <v>36.753160175177847</v>
      </c>
      <c r="D81" s="42"/>
    </row>
    <row r="82" spans="1:4" x14ac:dyDescent="0.25">
      <c r="A82" s="11">
        <v>0.4</v>
      </c>
      <c r="B82" s="7">
        <v>0.7</v>
      </c>
      <c r="C82" s="42">
        <v>36.713754635042093</v>
      </c>
      <c r="D82" s="42"/>
    </row>
    <row r="83" spans="1:4" x14ac:dyDescent="0.25">
      <c r="A83" s="11">
        <v>0.4</v>
      </c>
      <c r="B83" s="7">
        <v>0.8</v>
      </c>
      <c r="C83" s="42">
        <v>35.807864576780943</v>
      </c>
      <c r="D83" s="42"/>
    </row>
    <row r="84" spans="1:4" x14ac:dyDescent="0.25">
      <c r="A84" s="11">
        <v>0.4</v>
      </c>
      <c r="B84" s="7">
        <v>0.9</v>
      </c>
      <c r="C84" s="42">
        <v>35.209800329460407</v>
      </c>
      <c r="D84" s="42"/>
    </row>
    <row r="85" spans="1:4" x14ac:dyDescent="0.25">
      <c r="A85" s="11">
        <v>0.5</v>
      </c>
      <c r="B85" s="7">
        <v>0.1</v>
      </c>
      <c r="C85" s="42">
        <v>28.330084715454642</v>
      </c>
      <c r="D85" s="42"/>
    </row>
    <row r="86" spans="1:4" x14ac:dyDescent="0.25">
      <c r="A86" s="11">
        <v>0.5</v>
      </c>
      <c r="B86" s="7">
        <v>0.2</v>
      </c>
      <c r="C86" s="42">
        <v>31.646810190711683</v>
      </c>
      <c r="D86" s="42"/>
    </row>
    <row r="87" spans="1:4" x14ac:dyDescent="0.25">
      <c r="A87" s="11">
        <v>0.5</v>
      </c>
      <c r="B87" s="7">
        <v>0.3</v>
      </c>
      <c r="C87" s="42">
        <v>32.077219354839904</v>
      </c>
      <c r="D87" s="42"/>
    </row>
    <row r="88" spans="1:4" x14ac:dyDescent="0.25">
      <c r="A88" s="11">
        <v>0.5</v>
      </c>
      <c r="B88" s="7">
        <v>0.4</v>
      </c>
      <c r="C88" s="42">
        <v>32.064872004597895</v>
      </c>
      <c r="D88" s="42"/>
    </row>
    <row r="89" spans="1:4" x14ac:dyDescent="0.25">
      <c r="A89" s="11">
        <v>0.5</v>
      </c>
      <c r="B89" s="7">
        <v>0.5</v>
      </c>
      <c r="C89" s="42">
        <v>32.515448723258963</v>
      </c>
      <c r="D89" s="42"/>
    </row>
    <row r="90" spans="1:4" x14ac:dyDescent="0.25">
      <c r="A90" s="11">
        <v>0.5</v>
      </c>
      <c r="B90" s="7">
        <v>0.6</v>
      </c>
      <c r="C90" s="42">
        <v>33.161736211911361</v>
      </c>
      <c r="D90" s="42"/>
    </row>
    <row r="91" spans="1:4" x14ac:dyDescent="0.25">
      <c r="A91" s="11">
        <v>0.5</v>
      </c>
      <c r="B91" s="7">
        <v>0.7</v>
      </c>
      <c r="C91" s="42">
        <v>33.002906682696974</v>
      </c>
      <c r="D91" s="42"/>
    </row>
    <row r="92" spans="1:4" x14ac:dyDescent="0.25">
      <c r="A92" s="11">
        <v>0.5</v>
      </c>
      <c r="B92" s="7">
        <v>0.8</v>
      </c>
      <c r="C92" s="42">
        <v>33.430897707786031</v>
      </c>
      <c r="D92" s="42"/>
    </row>
    <row r="93" spans="1:4" x14ac:dyDescent="0.25">
      <c r="A93" s="11">
        <v>0.5</v>
      </c>
      <c r="B93" s="7">
        <v>0.9</v>
      </c>
      <c r="C93" s="42">
        <v>34.805363105520861</v>
      </c>
      <c r="D93" s="42"/>
    </row>
    <row r="94" spans="1:4" x14ac:dyDescent="0.25">
      <c r="A94" s="11">
        <v>0.6</v>
      </c>
      <c r="B94" s="7">
        <v>0.1</v>
      </c>
      <c r="C94" s="42">
        <v>26.347643228827394</v>
      </c>
      <c r="D94" s="42"/>
    </row>
    <row r="95" spans="1:4" x14ac:dyDescent="0.25">
      <c r="A95" s="11">
        <v>0.6</v>
      </c>
      <c r="B95" s="7">
        <v>0.2</v>
      </c>
      <c r="C95" s="42">
        <v>28.262968965240958</v>
      </c>
      <c r="D95" s="42"/>
    </row>
    <row r="96" spans="1:4" x14ac:dyDescent="0.25">
      <c r="A96" s="11">
        <v>0.6</v>
      </c>
      <c r="B96" s="7">
        <v>0.3</v>
      </c>
      <c r="C96" s="42">
        <v>29.511745951205238</v>
      </c>
      <c r="D96" s="42"/>
    </row>
    <row r="97" spans="1:4" x14ac:dyDescent="0.25">
      <c r="A97" s="11">
        <v>0.6</v>
      </c>
      <c r="B97" s="7">
        <v>0.4</v>
      </c>
      <c r="C97" s="42">
        <v>30.89160093047882</v>
      </c>
      <c r="D97" s="42"/>
    </row>
    <row r="98" spans="1:4" x14ac:dyDescent="0.25">
      <c r="A98" s="11">
        <v>0.6</v>
      </c>
      <c r="B98" s="7">
        <v>0.5</v>
      </c>
      <c r="C98" s="42">
        <v>31.724113859150428</v>
      </c>
      <c r="D98" s="42"/>
    </row>
    <row r="99" spans="1:4" x14ac:dyDescent="0.25">
      <c r="A99" s="11">
        <v>0.6</v>
      </c>
      <c r="B99" s="7">
        <v>0.6</v>
      </c>
      <c r="C99" s="42">
        <v>31.770481628263816</v>
      </c>
      <c r="D99" s="42"/>
    </row>
    <row r="100" spans="1:4" x14ac:dyDescent="0.25">
      <c r="A100" s="11">
        <v>0.6</v>
      </c>
      <c r="B100" s="7">
        <v>0.7</v>
      </c>
      <c r="C100" s="42">
        <v>32.835206138286892</v>
      </c>
      <c r="D100" s="42"/>
    </row>
    <row r="101" spans="1:4" x14ac:dyDescent="0.25">
      <c r="A101" s="11">
        <v>0.6</v>
      </c>
      <c r="B101" s="7">
        <v>0.8</v>
      </c>
      <c r="C101" s="42">
        <v>33.939870772793959</v>
      </c>
      <c r="D101" s="42"/>
    </row>
    <row r="102" spans="1:4" x14ac:dyDescent="0.25">
      <c r="A102" s="11">
        <v>0.6</v>
      </c>
      <c r="B102" s="7">
        <v>0.9</v>
      </c>
      <c r="C102" s="42">
        <v>34.608152818454883</v>
      </c>
      <c r="D102" s="42"/>
    </row>
    <row r="103" spans="1:4" x14ac:dyDescent="0.25">
      <c r="A103" s="98">
        <v>0.7</v>
      </c>
      <c r="B103" s="95">
        <v>0.1</v>
      </c>
      <c r="C103" s="96">
        <v>24.946892737051606</v>
      </c>
      <c r="D103" s="42"/>
    </row>
    <row r="104" spans="1:4" x14ac:dyDescent="0.25">
      <c r="A104" s="11">
        <v>0.7</v>
      </c>
      <c r="B104" s="7">
        <v>0.2</v>
      </c>
      <c r="C104" s="42">
        <v>27.680058991699873</v>
      </c>
      <c r="D104" s="42"/>
    </row>
    <row r="105" spans="1:4" x14ac:dyDescent="0.25">
      <c r="A105" s="11">
        <v>0.7</v>
      </c>
      <c r="B105" s="7">
        <v>0.3</v>
      </c>
      <c r="C105" s="42">
        <v>29.334077010287068</v>
      </c>
      <c r="D105" s="42"/>
    </row>
    <row r="106" spans="1:4" x14ac:dyDescent="0.25">
      <c r="A106" s="11">
        <v>0.7</v>
      </c>
      <c r="B106" s="7">
        <v>0.4</v>
      </c>
      <c r="C106" s="42">
        <v>30.678356971518305</v>
      </c>
      <c r="D106" s="42"/>
    </row>
    <row r="107" spans="1:4" x14ac:dyDescent="0.25">
      <c r="A107" s="11">
        <v>0.7</v>
      </c>
      <c r="B107" s="7">
        <v>0.5</v>
      </c>
      <c r="C107" s="42">
        <v>31.140872233545224</v>
      </c>
      <c r="D107" s="42"/>
    </row>
    <row r="108" spans="1:4" x14ac:dyDescent="0.25">
      <c r="A108" s="11">
        <v>0.7</v>
      </c>
      <c r="B108" s="7">
        <v>0.6</v>
      </c>
      <c r="C108" s="42">
        <v>32.084908441980062</v>
      </c>
      <c r="D108" s="42"/>
    </row>
    <row r="109" spans="1:4" x14ac:dyDescent="0.25">
      <c r="A109" s="11">
        <v>0.7</v>
      </c>
      <c r="B109" s="7">
        <v>0.7</v>
      </c>
      <c r="C109" s="42">
        <v>32.751890862752944</v>
      </c>
      <c r="D109" s="42"/>
    </row>
    <row r="110" spans="1:4" x14ac:dyDescent="0.25">
      <c r="A110" s="11">
        <v>0.7</v>
      </c>
      <c r="B110" s="7">
        <v>0.8</v>
      </c>
      <c r="C110" s="42">
        <v>33.229158640692177</v>
      </c>
      <c r="D110" s="42"/>
    </row>
    <row r="111" spans="1:4" x14ac:dyDescent="0.25">
      <c r="A111" s="11">
        <v>0.7</v>
      </c>
      <c r="B111" s="7">
        <v>0.9</v>
      </c>
      <c r="C111" s="42">
        <v>34.331222572587777</v>
      </c>
      <c r="D111" s="42"/>
    </row>
    <row r="112" spans="1:4" x14ac:dyDescent="0.25">
      <c r="A112" s="11">
        <v>0.8</v>
      </c>
      <c r="B112" s="7">
        <v>0.1</v>
      </c>
      <c r="C112" s="42">
        <v>25.190364348395381</v>
      </c>
      <c r="D112" s="42"/>
    </row>
    <row r="113" spans="1:4" x14ac:dyDescent="0.25">
      <c r="A113" s="11">
        <v>0.8</v>
      </c>
      <c r="B113" s="7">
        <v>0.2</v>
      </c>
      <c r="C113" s="42">
        <v>27.422571521119153</v>
      </c>
      <c r="D113" s="42"/>
    </row>
    <row r="114" spans="1:4" x14ac:dyDescent="0.25">
      <c r="A114" s="11">
        <v>0.8</v>
      </c>
      <c r="B114" s="7">
        <v>0.3</v>
      </c>
      <c r="C114" s="42">
        <v>29.52089141876662</v>
      </c>
      <c r="D114" s="42"/>
    </row>
    <row r="115" spans="1:4" x14ac:dyDescent="0.25">
      <c r="A115" s="11">
        <v>0.8</v>
      </c>
      <c r="B115" s="7">
        <v>0.4</v>
      </c>
      <c r="C115" s="42">
        <v>30.535152614230679</v>
      </c>
      <c r="D115" s="42"/>
    </row>
    <row r="116" spans="1:4" x14ac:dyDescent="0.25">
      <c r="A116" s="11">
        <v>0.8</v>
      </c>
      <c r="B116" s="7">
        <v>0.5</v>
      </c>
      <c r="C116" s="42">
        <v>31.507553149527052</v>
      </c>
      <c r="D116" s="42"/>
    </row>
    <row r="117" spans="1:4" x14ac:dyDescent="0.25">
      <c r="A117" s="11">
        <v>0.8</v>
      </c>
      <c r="B117" s="7">
        <v>0.6</v>
      </c>
      <c r="C117" s="42">
        <v>32.365779302043016</v>
      </c>
      <c r="D117" s="42"/>
    </row>
    <row r="118" spans="1:4" x14ac:dyDescent="0.25">
      <c r="A118" s="11">
        <v>0.8</v>
      </c>
      <c r="B118" s="7">
        <v>0.7</v>
      </c>
      <c r="C118" s="42">
        <v>34.06827029369741</v>
      </c>
      <c r="D118" s="42"/>
    </row>
    <row r="119" spans="1:4" x14ac:dyDescent="0.25">
      <c r="A119" s="11">
        <v>0.8</v>
      </c>
      <c r="B119" s="7">
        <v>0.8</v>
      </c>
      <c r="C119" s="42">
        <v>35.770167107694895</v>
      </c>
      <c r="D119" s="42"/>
    </row>
    <row r="120" spans="1:4" x14ac:dyDescent="0.25">
      <c r="A120" s="11">
        <v>0.8</v>
      </c>
      <c r="B120" s="7">
        <v>0.9</v>
      </c>
      <c r="C120" s="42">
        <v>37.415240564409999</v>
      </c>
      <c r="D120" s="42"/>
    </row>
    <row r="121" spans="1:4" x14ac:dyDescent="0.25">
      <c r="A121" s="11">
        <v>0.9</v>
      </c>
      <c r="B121" s="7">
        <v>0.1</v>
      </c>
      <c r="C121" s="42">
        <v>26.011628390343912</v>
      </c>
      <c r="D121" s="42"/>
    </row>
    <row r="122" spans="1:4" x14ac:dyDescent="0.25">
      <c r="A122" s="11">
        <v>0.9</v>
      </c>
      <c r="B122" s="7">
        <v>0.2</v>
      </c>
      <c r="C122" s="42">
        <v>27.870175134868056</v>
      </c>
      <c r="D122" s="42"/>
    </row>
    <row r="123" spans="1:4" x14ac:dyDescent="0.25">
      <c r="A123" s="11">
        <v>0.9</v>
      </c>
      <c r="B123" s="7">
        <v>0.3</v>
      </c>
      <c r="C123" s="42">
        <v>29.6280529480415</v>
      </c>
      <c r="D123" s="42"/>
    </row>
    <row r="124" spans="1:4" x14ac:dyDescent="0.25">
      <c r="A124" s="11">
        <v>0.9</v>
      </c>
      <c r="B124" s="7">
        <v>0.4</v>
      </c>
      <c r="C124" s="42">
        <v>31.172015874221096</v>
      </c>
      <c r="D124" s="42"/>
    </row>
    <row r="125" spans="1:4" x14ac:dyDescent="0.25">
      <c r="A125" s="11">
        <v>0.9</v>
      </c>
      <c r="B125" s="7">
        <v>0.5</v>
      </c>
      <c r="C125" s="42">
        <v>32.965071318147572</v>
      </c>
      <c r="D125" s="42"/>
    </row>
    <row r="126" spans="1:4" x14ac:dyDescent="0.25">
      <c r="A126" s="11">
        <v>0.9</v>
      </c>
      <c r="B126" s="7">
        <v>0.6</v>
      </c>
      <c r="C126" s="42">
        <v>34.67409825784874</v>
      </c>
      <c r="D126" s="42"/>
    </row>
    <row r="127" spans="1:4" x14ac:dyDescent="0.25">
      <c r="A127" s="11">
        <v>0.9</v>
      </c>
      <c r="B127" s="7">
        <v>0.7</v>
      </c>
      <c r="C127" s="42">
        <v>36.296996384658613</v>
      </c>
      <c r="D127" s="42"/>
    </row>
    <row r="128" spans="1:4" x14ac:dyDescent="0.25">
      <c r="A128" s="11">
        <v>0.9</v>
      </c>
      <c r="B128" s="7">
        <v>0.8</v>
      </c>
      <c r="C128" s="42">
        <v>37.794367311353923</v>
      </c>
      <c r="D128" s="42"/>
    </row>
    <row r="129" spans="1:4" ht="15.75" thickBot="1" x14ac:dyDescent="0.3">
      <c r="A129" s="27">
        <v>0.9</v>
      </c>
      <c r="B129" s="9">
        <v>0.9</v>
      </c>
      <c r="C129" s="43">
        <v>39.1167015884091</v>
      </c>
      <c r="D129" s="43"/>
    </row>
  </sheetData>
  <mergeCells count="3">
    <mergeCell ref="A44:B44"/>
    <mergeCell ref="A47:D47"/>
    <mergeCell ref="A22:H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end">
                <anchor moveWithCells="1" sizeWithCells="1">
                  <from>
                    <xdr:col>5</xdr:col>
                    <xdr:colOff>800100</xdr:colOff>
                    <xdr:row>17</xdr:row>
                    <xdr:rowOff>190500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8F75-5B9F-42BF-8D42-A7EB7434A8C5}">
  <sheetPr codeName="Sheet3"/>
  <dimension ref="A1:AO73"/>
  <sheetViews>
    <sheetView topLeftCell="A8" zoomScale="85" zoomScaleNormal="85" workbookViewId="0">
      <selection activeCell="AM73" sqref="AM73"/>
    </sheetView>
  </sheetViews>
  <sheetFormatPr defaultColWidth="12.42578125" defaultRowHeight="15" x14ac:dyDescent="0.25"/>
  <cols>
    <col min="1" max="3" width="12.42578125" style="1"/>
    <col min="4" max="4" width="18.42578125" style="1" bestFit="1" customWidth="1"/>
    <col min="5" max="5" width="12.42578125" style="1"/>
    <col min="6" max="6" width="18.42578125" style="1" bestFit="1" customWidth="1"/>
    <col min="7" max="7" width="12.42578125" style="1"/>
    <col min="8" max="8" width="18.42578125" style="1" bestFit="1" customWidth="1"/>
    <col min="9" max="39" width="12.42578125" style="1"/>
    <col min="40" max="40" width="18.42578125" style="1" bestFit="1" customWidth="1"/>
    <col min="41" max="16384" width="12.42578125" style="1"/>
  </cols>
  <sheetData>
    <row r="1" spans="1:2" ht="15.75" thickBot="1" x14ac:dyDescent="0.3">
      <c r="A1" s="60" t="s">
        <v>0</v>
      </c>
      <c r="B1" s="61" t="s">
        <v>2</v>
      </c>
    </row>
    <row r="2" spans="1:2" x14ac:dyDescent="0.25">
      <c r="A2" s="5">
        <v>1</v>
      </c>
      <c r="B2" s="8">
        <v>145</v>
      </c>
    </row>
    <row r="3" spans="1:2" x14ac:dyDescent="0.25">
      <c r="A3" s="5">
        <v>2</v>
      </c>
      <c r="B3" s="8">
        <v>164</v>
      </c>
    </row>
    <row r="4" spans="1:2" x14ac:dyDescent="0.25">
      <c r="A4" s="5">
        <v>3</v>
      </c>
      <c r="B4" s="8">
        <v>178</v>
      </c>
    </row>
    <row r="5" spans="1:2" x14ac:dyDescent="0.25">
      <c r="A5" s="5">
        <v>4</v>
      </c>
      <c r="B5" s="8">
        <v>200</v>
      </c>
    </row>
    <row r="6" spans="1:2" x14ac:dyDescent="0.25">
      <c r="A6" s="5">
        <v>5</v>
      </c>
      <c r="B6" s="8">
        <v>215</v>
      </c>
    </row>
    <row r="7" spans="1:2" x14ac:dyDescent="0.25">
      <c r="A7" s="5">
        <v>6</v>
      </c>
      <c r="B7" s="8">
        <v>205</v>
      </c>
    </row>
    <row r="8" spans="1:2" x14ac:dyDescent="0.25">
      <c r="A8" s="5">
        <v>7</v>
      </c>
      <c r="B8" s="8">
        <v>170</v>
      </c>
    </row>
    <row r="9" spans="1:2" x14ac:dyDescent="0.25">
      <c r="A9" s="5">
        <v>8</v>
      </c>
      <c r="B9" s="8">
        <v>142</v>
      </c>
    </row>
    <row r="10" spans="1:2" x14ac:dyDescent="0.25">
      <c r="A10" s="5">
        <v>9</v>
      </c>
      <c r="B10" s="8">
        <v>119</v>
      </c>
    </row>
    <row r="11" spans="1:2" x14ac:dyDescent="0.25">
      <c r="A11" s="5">
        <v>10</v>
      </c>
      <c r="B11" s="8">
        <v>147</v>
      </c>
    </row>
    <row r="12" spans="1:2" x14ac:dyDescent="0.25">
      <c r="A12" s="5">
        <v>11</v>
      </c>
      <c r="B12" s="8">
        <v>162</v>
      </c>
    </row>
    <row r="13" spans="1:2" x14ac:dyDescent="0.25">
      <c r="A13" s="5">
        <v>12</v>
      </c>
      <c r="B13" s="8">
        <v>180</v>
      </c>
    </row>
    <row r="14" spans="1:2" x14ac:dyDescent="0.25">
      <c r="A14" s="5">
        <v>13</v>
      </c>
      <c r="B14" s="8">
        <v>199</v>
      </c>
    </row>
    <row r="15" spans="1:2" x14ac:dyDescent="0.25">
      <c r="A15" s="5">
        <v>14</v>
      </c>
      <c r="B15" s="8">
        <v>220</v>
      </c>
    </row>
    <row r="16" spans="1:2" x14ac:dyDescent="0.25">
      <c r="A16" s="5">
        <v>15</v>
      </c>
      <c r="B16" s="8">
        <v>208</v>
      </c>
    </row>
    <row r="17" spans="1:8" x14ac:dyDescent="0.25">
      <c r="A17" s="5">
        <v>16</v>
      </c>
      <c r="B17" s="8">
        <v>175</v>
      </c>
    </row>
    <row r="18" spans="1:8" x14ac:dyDescent="0.25">
      <c r="A18" s="5">
        <v>17</v>
      </c>
      <c r="B18" s="8">
        <v>140</v>
      </c>
    </row>
    <row r="19" spans="1:8" x14ac:dyDescent="0.25">
      <c r="A19" s="5">
        <v>18</v>
      </c>
      <c r="B19" s="8">
        <v>121</v>
      </c>
    </row>
    <row r="20" spans="1:8" x14ac:dyDescent="0.25">
      <c r="A20" s="5">
        <v>19</v>
      </c>
      <c r="B20" s="8">
        <v>146</v>
      </c>
    </row>
    <row r="21" spans="1:8" ht="15.75" thickBot="1" x14ac:dyDescent="0.3">
      <c r="A21" s="5">
        <v>20</v>
      </c>
      <c r="B21" s="8">
        <v>160</v>
      </c>
    </row>
    <row r="22" spans="1:8" ht="15.75" thickBot="1" x14ac:dyDescent="0.3">
      <c r="A22" s="312" t="s">
        <v>7</v>
      </c>
      <c r="B22" s="313"/>
      <c r="C22" s="313"/>
      <c r="D22" s="313"/>
      <c r="E22" s="313"/>
      <c r="F22" s="313"/>
      <c r="G22" s="313"/>
      <c r="H22" s="314"/>
    </row>
    <row r="23" spans="1:8" ht="15.75" thickBot="1" x14ac:dyDescent="0.3">
      <c r="A23" s="4" t="s">
        <v>0</v>
      </c>
      <c r="B23" s="2" t="s">
        <v>2</v>
      </c>
      <c r="C23" s="12">
        <v>2</v>
      </c>
      <c r="D23" s="17" t="s">
        <v>33</v>
      </c>
      <c r="E23" s="12">
        <v>4</v>
      </c>
      <c r="F23" s="17" t="s">
        <v>33</v>
      </c>
      <c r="G23" s="12">
        <v>5</v>
      </c>
      <c r="H23" s="17" t="s">
        <v>33</v>
      </c>
    </row>
    <row r="24" spans="1:8" x14ac:dyDescent="0.25">
      <c r="A24" s="5">
        <v>1</v>
      </c>
      <c r="B24" s="8">
        <v>145</v>
      </c>
      <c r="C24" s="11" t="s">
        <v>34</v>
      </c>
      <c r="D24" s="8" t="s">
        <v>34</v>
      </c>
      <c r="E24" s="11" t="s">
        <v>34</v>
      </c>
      <c r="F24" s="8" t="s">
        <v>34</v>
      </c>
      <c r="G24" s="11" t="s">
        <v>34</v>
      </c>
      <c r="H24" s="8" t="s">
        <v>34</v>
      </c>
    </row>
    <row r="25" spans="1:8" x14ac:dyDescent="0.25">
      <c r="A25" s="5">
        <v>2</v>
      </c>
      <c r="B25" s="8">
        <v>164</v>
      </c>
      <c r="C25" s="13" t="s">
        <v>34</v>
      </c>
      <c r="D25" s="14" t="s">
        <v>34</v>
      </c>
      <c r="E25" s="11" t="s">
        <v>34</v>
      </c>
      <c r="F25" s="8" t="s">
        <v>34</v>
      </c>
      <c r="G25" s="11" t="s">
        <v>34</v>
      </c>
      <c r="H25" s="8" t="s">
        <v>34</v>
      </c>
    </row>
    <row r="26" spans="1:8" x14ac:dyDescent="0.25">
      <c r="A26" s="5">
        <v>3</v>
      </c>
      <c r="B26" s="8">
        <v>178</v>
      </c>
      <c r="C26" s="13">
        <f>AVERAGE(B24:B25)</f>
        <v>154.5</v>
      </c>
      <c r="D26" s="14">
        <f>ABS(B26-C26)</f>
        <v>23.5</v>
      </c>
      <c r="E26" s="11" t="s">
        <v>34</v>
      </c>
      <c r="F26" s="8" t="s">
        <v>34</v>
      </c>
      <c r="G26" s="11" t="s">
        <v>34</v>
      </c>
      <c r="H26" s="8" t="s">
        <v>34</v>
      </c>
    </row>
    <row r="27" spans="1:8" x14ac:dyDescent="0.25">
      <c r="A27" s="5">
        <v>4</v>
      </c>
      <c r="B27" s="8">
        <v>200</v>
      </c>
      <c r="C27" s="13">
        <f t="shared" ref="C27:C33" si="0">AVERAGE(B25:B26)</f>
        <v>171</v>
      </c>
      <c r="D27" s="14">
        <f t="shared" ref="D27:D33" si="1">ABS(B27-C27)</f>
        <v>29</v>
      </c>
      <c r="E27" s="13" t="s">
        <v>34</v>
      </c>
      <c r="F27" s="14" t="s">
        <v>34</v>
      </c>
      <c r="G27" s="11" t="s">
        <v>34</v>
      </c>
      <c r="H27" s="8" t="s">
        <v>34</v>
      </c>
    </row>
    <row r="28" spans="1:8" x14ac:dyDescent="0.25">
      <c r="A28" s="5">
        <v>5</v>
      </c>
      <c r="B28" s="8">
        <v>215</v>
      </c>
      <c r="C28" s="13">
        <f t="shared" si="0"/>
        <v>189</v>
      </c>
      <c r="D28" s="14">
        <f t="shared" si="1"/>
        <v>26</v>
      </c>
      <c r="E28" s="13">
        <f>AVERAGE(B24:B27)</f>
        <v>171.75</v>
      </c>
      <c r="F28" s="14">
        <f t="shared" ref="F28:F43" si="2">ABS(B28-E28)</f>
        <v>43.25</v>
      </c>
      <c r="G28" s="13" t="s">
        <v>34</v>
      </c>
      <c r="H28" s="14" t="s">
        <v>34</v>
      </c>
    </row>
    <row r="29" spans="1:8" x14ac:dyDescent="0.25">
      <c r="A29" s="5">
        <v>6</v>
      </c>
      <c r="B29" s="8">
        <v>205</v>
      </c>
      <c r="C29" s="13">
        <f t="shared" si="0"/>
        <v>207.5</v>
      </c>
      <c r="D29" s="14">
        <f t="shared" si="1"/>
        <v>2.5</v>
      </c>
      <c r="E29" s="13">
        <f>AVERAGE(B25:B28)</f>
        <v>189.25</v>
      </c>
      <c r="F29" s="14">
        <f t="shared" si="2"/>
        <v>15.75</v>
      </c>
      <c r="G29" s="13">
        <f>AVERAGE(B25:B29)</f>
        <v>192.4</v>
      </c>
      <c r="H29" s="14">
        <f t="shared" ref="H29:H43" si="3">ABS(B29-G29)</f>
        <v>12.599999999999994</v>
      </c>
    </row>
    <row r="30" spans="1:8" x14ac:dyDescent="0.25">
      <c r="A30" s="5">
        <v>7</v>
      </c>
      <c r="B30" s="8">
        <v>170</v>
      </c>
      <c r="C30" s="13">
        <f t="shared" si="0"/>
        <v>210</v>
      </c>
      <c r="D30" s="14">
        <f t="shared" si="1"/>
        <v>40</v>
      </c>
      <c r="E30" s="13">
        <f>AVERAGE(B26:B29)</f>
        <v>199.5</v>
      </c>
      <c r="F30" s="14">
        <f t="shared" si="2"/>
        <v>29.5</v>
      </c>
      <c r="G30" s="13">
        <f>AVERAGE(B26:B30)</f>
        <v>193.6</v>
      </c>
      <c r="H30" s="14">
        <f t="shared" si="3"/>
        <v>23.599999999999994</v>
      </c>
    </row>
    <row r="31" spans="1:8" x14ac:dyDescent="0.25">
      <c r="A31" s="5">
        <v>8</v>
      </c>
      <c r="B31" s="8">
        <v>142</v>
      </c>
      <c r="C31" s="13">
        <f t="shared" si="0"/>
        <v>187.5</v>
      </c>
      <c r="D31" s="14">
        <f t="shared" si="1"/>
        <v>45.5</v>
      </c>
      <c r="E31" s="13">
        <f>AVERAGE(B27:B30)</f>
        <v>197.5</v>
      </c>
      <c r="F31" s="14">
        <f t="shared" si="2"/>
        <v>55.5</v>
      </c>
      <c r="G31" s="13">
        <f>AVERAGE(B27:B31)</f>
        <v>186.4</v>
      </c>
      <c r="H31" s="14">
        <f t="shared" si="3"/>
        <v>44.400000000000006</v>
      </c>
    </row>
    <row r="32" spans="1:8" x14ac:dyDescent="0.25">
      <c r="A32" s="5">
        <v>9</v>
      </c>
      <c r="B32" s="8">
        <v>119</v>
      </c>
      <c r="C32" s="13">
        <f t="shared" si="0"/>
        <v>156</v>
      </c>
      <c r="D32" s="14">
        <f t="shared" si="1"/>
        <v>37</v>
      </c>
      <c r="E32" s="13">
        <f>AVERAGE(B28:B31)</f>
        <v>183</v>
      </c>
      <c r="F32" s="14">
        <f t="shared" si="2"/>
        <v>64</v>
      </c>
      <c r="G32" s="13">
        <f>AVERAGE(B28:B32)</f>
        <v>170.2</v>
      </c>
      <c r="H32" s="14">
        <f t="shared" si="3"/>
        <v>51.199999999999989</v>
      </c>
    </row>
    <row r="33" spans="1:40" x14ac:dyDescent="0.25">
      <c r="A33" s="5">
        <v>10</v>
      </c>
      <c r="B33" s="8">
        <v>147</v>
      </c>
      <c r="C33" s="13">
        <f t="shared" si="0"/>
        <v>130.5</v>
      </c>
      <c r="D33" s="14">
        <f t="shared" si="1"/>
        <v>16.5</v>
      </c>
      <c r="E33" s="13">
        <f t="shared" ref="E33:E38" si="4">AVERAGE(B29:B32)</f>
        <v>159</v>
      </c>
      <c r="F33" s="14">
        <f t="shared" si="2"/>
        <v>12</v>
      </c>
      <c r="G33" s="13">
        <f>AVERAGE(B29:B33)</f>
        <v>156.6</v>
      </c>
      <c r="H33" s="14">
        <f t="shared" si="3"/>
        <v>9.5999999999999943</v>
      </c>
    </row>
    <row r="34" spans="1:40" x14ac:dyDescent="0.25">
      <c r="A34" s="5">
        <v>11</v>
      </c>
      <c r="B34" s="8">
        <v>162</v>
      </c>
      <c r="C34" s="13">
        <f>AVERAGE(B32:B33)</f>
        <v>133</v>
      </c>
      <c r="D34" s="14">
        <f>ABS(B34-C34)</f>
        <v>29</v>
      </c>
      <c r="E34" s="13">
        <f t="shared" si="4"/>
        <v>144.5</v>
      </c>
      <c r="F34" s="14">
        <f t="shared" si="2"/>
        <v>17.5</v>
      </c>
      <c r="G34" s="13">
        <f t="shared" ref="G34:G39" si="5">AVERAGE(B29:B33)</f>
        <v>156.6</v>
      </c>
      <c r="H34" s="14">
        <f t="shared" si="3"/>
        <v>5.4000000000000057</v>
      </c>
    </row>
    <row r="35" spans="1:40" x14ac:dyDescent="0.25">
      <c r="A35" s="5">
        <v>12</v>
      </c>
      <c r="B35" s="8">
        <v>180</v>
      </c>
      <c r="C35" s="13">
        <f>AVERAGE(B34,B33)</f>
        <v>154.5</v>
      </c>
      <c r="D35" s="14">
        <f>ABS(B35-C35)</f>
        <v>25.5</v>
      </c>
      <c r="E35" s="13">
        <f t="shared" si="4"/>
        <v>142.5</v>
      </c>
      <c r="F35" s="14">
        <f t="shared" si="2"/>
        <v>37.5</v>
      </c>
      <c r="G35" s="13">
        <f t="shared" si="5"/>
        <v>148</v>
      </c>
      <c r="H35" s="14">
        <f t="shared" si="3"/>
        <v>32</v>
      </c>
    </row>
    <row r="36" spans="1:40" x14ac:dyDescent="0.25">
      <c r="A36" s="5">
        <v>13</v>
      </c>
      <c r="B36" s="8">
        <v>199</v>
      </c>
      <c r="C36" s="13">
        <f>AVERAGE(B34:B35)</f>
        <v>171</v>
      </c>
      <c r="D36" s="14">
        <f>ABS(B36-C36)</f>
        <v>28</v>
      </c>
      <c r="E36" s="13">
        <f t="shared" si="4"/>
        <v>152</v>
      </c>
      <c r="F36" s="14">
        <f t="shared" si="2"/>
        <v>47</v>
      </c>
      <c r="G36" s="13">
        <f t="shared" si="5"/>
        <v>150</v>
      </c>
      <c r="H36" s="14">
        <f t="shared" si="3"/>
        <v>49</v>
      </c>
    </row>
    <row r="37" spans="1:40" x14ac:dyDescent="0.25">
      <c r="A37" s="5">
        <v>14</v>
      </c>
      <c r="B37" s="8">
        <v>220</v>
      </c>
      <c r="C37" s="13">
        <f t="shared" ref="C37:C43" si="6">AVERAGE(B35:B36)</f>
        <v>189.5</v>
      </c>
      <c r="D37" s="14">
        <f t="shared" ref="D37:D43" si="7">ABS(B37-C37)</f>
        <v>30.5</v>
      </c>
      <c r="E37" s="13">
        <f t="shared" si="4"/>
        <v>172</v>
      </c>
      <c r="F37" s="14">
        <f t="shared" si="2"/>
        <v>48</v>
      </c>
      <c r="G37" s="13">
        <f t="shared" si="5"/>
        <v>161.4</v>
      </c>
      <c r="H37" s="14">
        <f t="shared" si="3"/>
        <v>58.599999999999994</v>
      </c>
    </row>
    <row r="38" spans="1:40" x14ac:dyDescent="0.25">
      <c r="A38" s="5">
        <v>15</v>
      </c>
      <c r="B38" s="8">
        <v>208</v>
      </c>
      <c r="C38" s="13">
        <f t="shared" si="6"/>
        <v>209.5</v>
      </c>
      <c r="D38" s="14">
        <f t="shared" si="7"/>
        <v>1.5</v>
      </c>
      <c r="E38" s="13">
        <f t="shared" si="4"/>
        <v>190.25</v>
      </c>
      <c r="F38" s="14">
        <f t="shared" si="2"/>
        <v>17.75</v>
      </c>
      <c r="G38" s="13">
        <f t="shared" si="5"/>
        <v>181.6</v>
      </c>
      <c r="H38" s="14">
        <f t="shared" si="3"/>
        <v>26.400000000000006</v>
      </c>
    </row>
    <row r="39" spans="1:40" x14ac:dyDescent="0.25">
      <c r="A39" s="5">
        <v>16</v>
      </c>
      <c r="B39" s="8">
        <v>175</v>
      </c>
      <c r="C39" s="13">
        <f t="shared" si="6"/>
        <v>214</v>
      </c>
      <c r="D39" s="14">
        <f t="shared" si="7"/>
        <v>39</v>
      </c>
      <c r="E39" s="13">
        <f>AVERAGE(B35:B38)</f>
        <v>201.75</v>
      </c>
      <c r="F39" s="14">
        <f t="shared" si="2"/>
        <v>26.75</v>
      </c>
      <c r="G39" s="13">
        <f t="shared" si="5"/>
        <v>193.8</v>
      </c>
      <c r="H39" s="14">
        <f t="shared" si="3"/>
        <v>18.800000000000011</v>
      </c>
    </row>
    <row r="40" spans="1:40" x14ac:dyDescent="0.25">
      <c r="A40" s="5">
        <v>17</v>
      </c>
      <c r="B40" s="8">
        <v>140</v>
      </c>
      <c r="C40" s="13">
        <f t="shared" si="6"/>
        <v>191.5</v>
      </c>
      <c r="D40" s="14">
        <f t="shared" si="7"/>
        <v>51.5</v>
      </c>
      <c r="E40" s="13">
        <f>AVERAGE(B36:B39)</f>
        <v>200.5</v>
      </c>
      <c r="F40" s="14">
        <f t="shared" si="2"/>
        <v>60.5</v>
      </c>
      <c r="G40" s="13">
        <f>AVERAGE(B35:B39)</f>
        <v>196.4</v>
      </c>
      <c r="H40" s="14">
        <f t="shared" si="3"/>
        <v>56.400000000000006</v>
      </c>
    </row>
    <row r="41" spans="1:40" x14ac:dyDescent="0.25">
      <c r="A41" s="5">
        <v>18</v>
      </c>
      <c r="B41" s="8">
        <v>121</v>
      </c>
      <c r="C41" s="13">
        <f t="shared" si="6"/>
        <v>157.5</v>
      </c>
      <c r="D41" s="14">
        <f t="shared" si="7"/>
        <v>36.5</v>
      </c>
      <c r="E41" s="13">
        <f>AVERAGE(B37:B40)</f>
        <v>185.75</v>
      </c>
      <c r="F41" s="14">
        <f t="shared" si="2"/>
        <v>64.75</v>
      </c>
      <c r="G41" s="13">
        <f>AVERAGE(B36:B40)</f>
        <v>188.4</v>
      </c>
      <c r="H41" s="14">
        <f t="shared" si="3"/>
        <v>67.400000000000006</v>
      </c>
    </row>
    <row r="42" spans="1:40" x14ac:dyDescent="0.25">
      <c r="A42" s="5">
        <v>19</v>
      </c>
      <c r="B42" s="8">
        <v>146</v>
      </c>
      <c r="C42" s="13">
        <f t="shared" si="6"/>
        <v>130.5</v>
      </c>
      <c r="D42" s="14">
        <f t="shared" si="7"/>
        <v>15.5</v>
      </c>
      <c r="E42" s="13">
        <f>AVERAGE(B38:B41)</f>
        <v>161</v>
      </c>
      <c r="F42" s="14">
        <f t="shared" si="2"/>
        <v>15</v>
      </c>
      <c r="G42" s="13">
        <f>AVERAGE(B37:B41)</f>
        <v>172.8</v>
      </c>
      <c r="H42" s="14">
        <f t="shared" si="3"/>
        <v>26.800000000000011</v>
      </c>
    </row>
    <row r="43" spans="1:40" ht="15.75" thickBot="1" x14ac:dyDescent="0.3">
      <c r="A43" s="6">
        <v>20</v>
      </c>
      <c r="B43" s="8">
        <v>160</v>
      </c>
      <c r="C43" s="13">
        <f t="shared" si="6"/>
        <v>133.5</v>
      </c>
      <c r="D43" s="14">
        <f t="shared" si="7"/>
        <v>26.5</v>
      </c>
      <c r="E43" s="13">
        <f>AVERAGE(B39:B42)</f>
        <v>145.5</v>
      </c>
      <c r="F43" s="14">
        <f t="shared" si="2"/>
        <v>14.5</v>
      </c>
      <c r="G43" s="13">
        <f>AVERAGE(B38:B42)</f>
        <v>158</v>
      </c>
      <c r="H43" s="14">
        <f t="shared" si="3"/>
        <v>2</v>
      </c>
    </row>
    <row r="44" spans="1:40" ht="15.75" thickBot="1" x14ac:dyDescent="0.3">
      <c r="A44" s="306" t="s">
        <v>91</v>
      </c>
      <c r="B44" s="307"/>
      <c r="C44" s="322">
        <f>AVERAGE(D25:D33)</f>
        <v>27.5</v>
      </c>
      <c r="D44" s="323"/>
      <c r="E44" s="324">
        <f>AVERAGE(F27:F33)</f>
        <v>36.666666666666664</v>
      </c>
      <c r="F44" s="325"/>
      <c r="G44" s="324">
        <f>AVERAGE(H28:H33)</f>
        <v>28.279999999999994</v>
      </c>
      <c r="H44" s="325"/>
    </row>
    <row r="45" spans="1:40" ht="15.75" thickBot="1" x14ac:dyDescent="0.3">
      <c r="A45" s="306" t="s">
        <v>92</v>
      </c>
      <c r="B45" s="307"/>
      <c r="C45" s="310">
        <f>AVERAGE(D35:D43)</f>
        <v>28.277777777777779</v>
      </c>
      <c r="D45" s="311"/>
      <c r="E45" s="318">
        <f>AVERAGE(F35:F43)</f>
        <v>36.861111111111114</v>
      </c>
      <c r="F45" s="319"/>
      <c r="G45" s="318">
        <f>AVERAGE(H35:H43)</f>
        <v>37.488888888888894</v>
      </c>
      <c r="H45" s="319"/>
    </row>
    <row r="46" spans="1:40" ht="15.75" thickBot="1" x14ac:dyDescent="0.3">
      <c r="A46" s="306" t="s">
        <v>85</v>
      </c>
      <c r="B46" s="307"/>
      <c r="C46" s="310">
        <f>AVERAGE(D24:D43)</f>
        <v>27.972222222222221</v>
      </c>
      <c r="D46" s="311"/>
      <c r="E46" s="304">
        <f>AVERAGE(F24:F43)</f>
        <v>35.578125</v>
      </c>
      <c r="F46" s="305"/>
      <c r="G46" s="304">
        <f>AVERAGE(H24:H43)</f>
        <v>32.28</v>
      </c>
      <c r="H46" s="305"/>
    </row>
    <row r="47" spans="1:40" ht="15.75" thickBot="1" x14ac:dyDescent="0.3"/>
    <row r="48" spans="1:40" ht="15.75" thickBot="1" x14ac:dyDescent="0.3">
      <c r="A48" s="86" t="s">
        <v>8</v>
      </c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8"/>
    </row>
    <row r="49" spans="1:40" ht="15.75" thickBot="1" x14ac:dyDescent="0.3">
      <c r="A49" s="4" t="s">
        <v>0</v>
      </c>
      <c r="B49" s="2" t="s">
        <v>2</v>
      </c>
      <c r="C49" s="12">
        <v>0.2</v>
      </c>
      <c r="D49" s="17" t="s">
        <v>33</v>
      </c>
      <c r="E49" s="12">
        <v>0.5</v>
      </c>
      <c r="F49" s="17" t="s">
        <v>33</v>
      </c>
      <c r="G49" s="12">
        <v>0.8</v>
      </c>
      <c r="H49" s="17" t="s">
        <v>33</v>
      </c>
      <c r="I49" s="12">
        <v>0.75</v>
      </c>
      <c r="J49" s="17" t="s">
        <v>33</v>
      </c>
      <c r="K49" s="12">
        <v>0.79</v>
      </c>
      <c r="L49" s="17" t="s">
        <v>33</v>
      </c>
      <c r="M49" s="12">
        <v>0.81</v>
      </c>
      <c r="N49" s="17" t="s">
        <v>33</v>
      </c>
      <c r="O49" s="12">
        <v>0.82</v>
      </c>
      <c r="P49" s="17" t="s">
        <v>33</v>
      </c>
      <c r="Q49" s="12">
        <v>0.83</v>
      </c>
      <c r="R49" s="17" t="s">
        <v>33</v>
      </c>
      <c r="S49" s="12">
        <v>0.84</v>
      </c>
      <c r="T49" s="17" t="s">
        <v>33</v>
      </c>
      <c r="U49" s="12">
        <v>0.85</v>
      </c>
      <c r="V49" s="17" t="s">
        <v>33</v>
      </c>
      <c r="W49" s="16">
        <v>0.86</v>
      </c>
      <c r="X49" s="17" t="s">
        <v>33</v>
      </c>
      <c r="Y49" s="12">
        <v>0.87</v>
      </c>
      <c r="Z49" s="17" t="s">
        <v>33</v>
      </c>
      <c r="AA49" s="12">
        <v>0.88</v>
      </c>
      <c r="AB49" s="22" t="s">
        <v>33</v>
      </c>
      <c r="AC49" s="12">
        <v>0.89</v>
      </c>
      <c r="AD49" s="22" t="s">
        <v>33</v>
      </c>
      <c r="AE49" s="12">
        <v>0.9</v>
      </c>
      <c r="AF49" s="22" t="s">
        <v>33</v>
      </c>
      <c r="AG49" s="12">
        <v>0.91</v>
      </c>
      <c r="AH49" s="22" t="s">
        <v>33</v>
      </c>
      <c r="AI49" s="12">
        <v>0.95</v>
      </c>
      <c r="AJ49" s="22" t="s">
        <v>33</v>
      </c>
      <c r="AK49" s="12">
        <v>0.98</v>
      </c>
      <c r="AL49" s="22" t="s">
        <v>33</v>
      </c>
      <c r="AM49" s="12">
        <v>0.99</v>
      </c>
      <c r="AN49" s="22" t="s">
        <v>33</v>
      </c>
    </row>
    <row r="50" spans="1:40" x14ac:dyDescent="0.25">
      <c r="A50" s="5">
        <v>1</v>
      </c>
      <c r="B50" s="8">
        <v>145</v>
      </c>
      <c r="C50" s="11" t="s">
        <v>34</v>
      </c>
      <c r="D50" s="8" t="s">
        <v>34</v>
      </c>
      <c r="E50" s="11" t="s">
        <v>34</v>
      </c>
      <c r="F50" s="8" t="s">
        <v>34</v>
      </c>
      <c r="G50" s="11" t="s">
        <v>34</v>
      </c>
      <c r="H50" s="8" t="s">
        <v>34</v>
      </c>
      <c r="I50" s="11" t="s">
        <v>34</v>
      </c>
      <c r="J50" s="8" t="s">
        <v>34</v>
      </c>
      <c r="K50" s="11" t="s">
        <v>34</v>
      </c>
      <c r="L50" s="8" t="s">
        <v>34</v>
      </c>
      <c r="M50" s="11" t="s">
        <v>34</v>
      </c>
      <c r="N50" s="8" t="s">
        <v>34</v>
      </c>
      <c r="O50" s="11" t="s">
        <v>34</v>
      </c>
      <c r="P50" s="8" t="s">
        <v>34</v>
      </c>
      <c r="Q50" s="11" t="s">
        <v>34</v>
      </c>
      <c r="R50" s="8" t="s">
        <v>34</v>
      </c>
      <c r="S50" s="11" t="s">
        <v>34</v>
      </c>
      <c r="T50" s="8" t="s">
        <v>34</v>
      </c>
      <c r="U50" s="11" t="s">
        <v>34</v>
      </c>
      <c r="V50" s="8" t="s">
        <v>34</v>
      </c>
      <c r="W50" s="11" t="s">
        <v>34</v>
      </c>
      <c r="X50" s="8" t="s">
        <v>34</v>
      </c>
      <c r="Y50" s="11" t="s">
        <v>34</v>
      </c>
      <c r="Z50" s="8" t="s">
        <v>34</v>
      </c>
      <c r="AA50" s="11" t="s">
        <v>34</v>
      </c>
      <c r="AB50" s="8" t="s">
        <v>34</v>
      </c>
      <c r="AC50" s="11" t="s">
        <v>34</v>
      </c>
      <c r="AD50" s="8" t="s">
        <v>34</v>
      </c>
      <c r="AE50" s="11" t="s">
        <v>34</v>
      </c>
      <c r="AF50" s="8" t="s">
        <v>34</v>
      </c>
      <c r="AG50" s="11" t="s">
        <v>34</v>
      </c>
      <c r="AH50" s="8" t="s">
        <v>34</v>
      </c>
      <c r="AI50" s="11" t="s">
        <v>34</v>
      </c>
      <c r="AJ50" s="8" t="s">
        <v>34</v>
      </c>
      <c r="AK50" s="11" t="s">
        <v>34</v>
      </c>
      <c r="AL50" s="8" t="s">
        <v>34</v>
      </c>
      <c r="AM50" s="11" t="s">
        <v>34</v>
      </c>
      <c r="AN50" s="8" t="s">
        <v>34</v>
      </c>
    </row>
    <row r="51" spans="1:40" x14ac:dyDescent="0.25">
      <c r="A51" s="5">
        <v>2</v>
      </c>
      <c r="B51" s="8">
        <v>164</v>
      </c>
      <c r="C51" s="13">
        <f>$B$24</f>
        <v>145</v>
      </c>
      <c r="D51" s="14">
        <f t="shared" ref="D51:D69" si="8">ABS($B25-C51)</f>
        <v>19</v>
      </c>
      <c r="E51" s="13">
        <f>$B$24</f>
        <v>145</v>
      </c>
      <c r="F51" s="14">
        <f t="shared" ref="F51:F69" si="9">ABS($B25-E51)</f>
        <v>19</v>
      </c>
      <c r="G51" s="13">
        <f>$B$24</f>
        <v>145</v>
      </c>
      <c r="H51" s="14">
        <f t="shared" ref="H51:H69" si="10">ABS($B25-G51)</f>
        <v>19</v>
      </c>
      <c r="I51" s="13">
        <f>$B$24</f>
        <v>145</v>
      </c>
      <c r="J51" s="14">
        <f t="shared" ref="J51:J59" si="11">ABS($B25-I51)</f>
        <v>19</v>
      </c>
      <c r="K51" s="13">
        <f>$B$24</f>
        <v>145</v>
      </c>
      <c r="L51" s="14">
        <f t="shared" ref="L51:L59" si="12">ABS($B25-K51)</f>
        <v>19</v>
      </c>
      <c r="M51" s="13">
        <f>$B$24</f>
        <v>145</v>
      </c>
      <c r="N51" s="14">
        <f t="shared" ref="N51:N59" si="13">ABS($B25-M51)</f>
        <v>19</v>
      </c>
      <c r="O51" s="13">
        <f>$B$24</f>
        <v>145</v>
      </c>
      <c r="P51" s="14">
        <f t="shared" ref="P51:P59" si="14">ABS($B25-O51)</f>
        <v>19</v>
      </c>
      <c r="Q51" s="13">
        <f>$B$24</f>
        <v>145</v>
      </c>
      <c r="R51" s="14">
        <f t="shared" ref="R51:R59" si="15">ABS($B25-Q51)</f>
        <v>19</v>
      </c>
      <c r="S51" s="13">
        <f>$B$24</f>
        <v>145</v>
      </c>
      <c r="T51" s="14">
        <f t="shared" ref="T51:T59" si="16">ABS($B25-S51)</f>
        <v>19</v>
      </c>
      <c r="U51" s="13">
        <f>$B$24</f>
        <v>145</v>
      </c>
      <c r="V51" s="14">
        <f t="shared" ref="V51:V59" si="17">ABS($B25-U51)</f>
        <v>19</v>
      </c>
      <c r="W51" s="13">
        <f>$B$24</f>
        <v>145</v>
      </c>
      <c r="X51" s="14">
        <f t="shared" ref="X51:X59" si="18">ABS($B25-W51)</f>
        <v>19</v>
      </c>
      <c r="Y51" s="13">
        <f>$B$24</f>
        <v>145</v>
      </c>
      <c r="Z51" s="14">
        <f t="shared" ref="Z51:Z59" si="19">ABS($B25-Y51)</f>
        <v>19</v>
      </c>
      <c r="AA51" s="13">
        <f>$B$24</f>
        <v>145</v>
      </c>
      <c r="AB51" s="14">
        <f t="shared" ref="AB51:AB59" si="20">ABS($B25-AA51)</f>
        <v>19</v>
      </c>
      <c r="AC51" s="13">
        <f>$B$24</f>
        <v>145</v>
      </c>
      <c r="AD51" s="14">
        <f t="shared" ref="AD51:AD59" si="21">ABS($B25-AC51)</f>
        <v>19</v>
      </c>
      <c r="AE51" s="13">
        <f>$B$24</f>
        <v>145</v>
      </c>
      <c r="AF51" s="14">
        <f t="shared" ref="AF51:AF59" si="22">ABS($B25-AE51)</f>
        <v>19</v>
      </c>
      <c r="AG51" s="13">
        <f>$B$24</f>
        <v>145</v>
      </c>
      <c r="AH51" s="14">
        <f t="shared" ref="AH51:AH59" si="23">ABS($B25-AG51)</f>
        <v>19</v>
      </c>
      <c r="AI51" s="13">
        <f>$B$24</f>
        <v>145</v>
      </c>
      <c r="AJ51" s="14">
        <f t="shared" ref="AJ51:AJ59" si="24">ABS($B25-AI51)</f>
        <v>19</v>
      </c>
      <c r="AK51" s="13">
        <f>$B$24</f>
        <v>145</v>
      </c>
      <c r="AL51" s="14">
        <f t="shared" ref="AL51:AL59" si="25">ABS($B25-AK51)</f>
        <v>19</v>
      </c>
      <c r="AM51" s="13">
        <f>$B$24</f>
        <v>145</v>
      </c>
      <c r="AN51" s="14">
        <f t="shared" ref="AN51:AN59" si="26">ABS($B25-AM51)</f>
        <v>19</v>
      </c>
    </row>
    <row r="52" spans="1:40" x14ac:dyDescent="0.25">
      <c r="A52" s="5">
        <v>3</v>
      </c>
      <c r="B52" s="8">
        <v>178</v>
      </c>
      <c r="C52" s="13">
        <f t="shared" ref="C52:C59" si="27">C$49*$B25+(1-C$49)*C51</f>
        <v>148.80000000000001</v>
      </c>
      <c r="D52" s="14">
        <f t="shared" si="8"/>
        <v>29.199999999999989</v>
      </c>
      <c r="E52" s="13">
        <f t="shared" ref="E52:E59" si="28">E$49*$B25+(1-E$49)*E51</f>
        <v>154.5</v>
      </c>
      <c r="F52" s="14">
        <f t="shared" si="9"/>
        <v>23.5</v>
      </c>
      <c r="G52" s="13">
        <f t="shared" ref="G52:G59" si="29">G$49*$B25+(1-G$49)*G51</f>
        <v>160.20000000000002</v>
      </c>
      <c r="H52" s="14">
        <f t="shared" si="10"/>
        <v>17.799999999999983</v>
      </c>
      <c r="I52" s="13">
        <f t="shared" ref="I52:I59" si="30">I$49*$B25+(1-I$49)*I51</f>
        <v>159.25</v>
      </c>
      <c r="J52" s="14">
        <f t="shared" si="11"/>
        <v>18.75</v>
      </c>
      <c r="K52" s="13">
        <f t="shared" ref="K52:K59" si="31">K$49*$B25+(1-K$49)*K51</f>
        <v>160.01</v>
      </c>
      <c r="L52" s="14">
        <f t="shared" si="12"/>
        <v>17.990000000000009</v>
      </c>
      <c r="M52" s="13">
        <f t="shared" ref="M52:M59" si="32">M$49*$B25+(1-M$49)*M51</f>
        <v>160.38999999999999</v>
      </c>
      <c r="N52" s="14">
        <f t="shared" si="13"/>
        <v>17.610000000000014</v>
      </c>
      <c r="O52" s="13">
        <f t="shared" ref="O52:O59" si="33">O$49*$B25+(1-O$49)*O51</f>
        <v>160.57999999999998</v>
      </c>
      <c r="P52" s="14">
        <f t="shared" si="14"/>
        <v>17.420000000000016</v>
      </c>
      <c r="Q52" s="13">
        <f t="shared" ref="Q52:Q59" si="34">Q$49*$B25+(1-Q$49)*Q51</f>
        <v>160.77000000000001</v>
      </c>
      <c r="R52" s="14">
        <f t="shared" si="15"/>
        <v>17.22999999999999</v>
      </c>
      <c r="S52" s="13">
        <f t="shared" ref="S52:S59" si="35">S$49*$B25+(1-S$49)*S51</f>
        <v>160.95999999999998</v>
      </c>
      <c r="T52" s="14">
        <f t="shared" si="16"/>
        <v>17.04000000000002</v>
      </c>
      <c r="U52" s="13">
        <f t="shared" ref="U52:U59" si="36">U$49*$B25+(1-U$49)*U51</f>
        <v>161.15</v>
      </c>
      <c r="V52" s="14">
        <f t="shared" si="17"/>
        <v>16.849999999999994</v>
      </c>
      <c r="W52" s="13">
        <f t="shared" ref="W52:W59" si="37">W$49*$B25+(1-W$49)*W51</f>
        <v>161.34</v>
      </c>
      <c r="X52" s="14">
        <f t="shared" si="18"/>
        <v>16.659999999999997</v>
      </c>
      <c r="Y52" s="13">
        <f t="shared" ref="Y52:Y59" si="38">Y$49*$B25+(1-Y$49)*Y51</f>
        <v>161.53</v>
      </c>
      <c r="Z52" s="14">
        <f t="shared" si="19"/>
        <v>16.47</v>
      </c>
      <c r="AA52" s="13">
        <f t="shared" ref="AA52:AA59" si="39">AA$49*$B25+(1-AA$49)*AA51</f>
        <v>161.72</v>
      </c>
      <c r="AB52" s="14">
        <f t="shared" si="20"/>
        <v>16.28</v>
      </c>
      <c r="AC52" s="13">
        <f t="shared" ref="AC52:AC59" si="40">AC$49*$B25+(1-AC$49)*AC51</f>
        <v>161.91</v>
      </c>
      <c r="AD52" s="14">
        <f t="shared" si="21"/>
        <v>16.090000000000003</v>
      </c>
      <c r="AE52" s="13">
        <f t="shared" ref="AE52:AE59" si="41">AE$49*$B25+(1-AE$49)*AE51</f>
        <v>162.1</v>
      </c>
      <c r="AF52" s="14">
        <f t="shared" si="22"/>
        <v>15.900000000000006</v>
      </c>
      <c r="AG52" s="13">
        <f t="shared" ref="AG52:AG59" si="42">AG$49*$B25+(1-AG$49)*AG51</f>
        <v>162.29</v>
      </c>
      <c r="AH52" s="14">
        <f t="shared" si="23"/>
        <v>15.710000000000008</v>
      </c>
      <c r="AI52" s="13">
        <f t="shared" ref="AI52:AI59" si="43">AI$49*$B25+(1-AI$49)*AI51</f>
        <v>163.04999999999998</v>
      </c>
      <c r="AJ52" s="14">
        <f t="shared" si="24"/>
        <v>14.950000000000017</v>
      </c>
      <c r="AK52" s="13">
        <f t="shared" ref="AK52:AK59" si="44">AK$49*$B25+(1-AK$49)*AK51</f>
        <v>163.62</v>
      </c>
      <c r="AL52" s="14">
        <f t="shared" si="25"/>
        <v>14.379999999999995</v>
      </c>
      <c r="AM52" s="13">
        <f t="shared" ref="AM52:AM59" si="45">AM$49*$B25+(1-AM$49)*AM51</f>
        <v>163.80999999999997</v>
      </c>
      <c r="AN52" s="14">
        <f t="shared" si="26"/>
        <v>14.190000000000026</v>
      </c>
    </row>
    <row r="53" spans="1:40" x14ac:dyDescent="0.25">
      <c r="A53" s="5">
        <v>4</v>
      </c>
      <c r="B53" s="8">
        <v>200</v>
      </c>
      <c r="C53" s="13">
        <f t="shared" si="27"/>
        <v>154.64000000000001</v>
      </c>
      <c r="D53" s="14">
        <f t="shared" si="8"/>
        <v>45.359999999999985</v>
      </c>
      <c r="E53" s="13">
        <f t="shared" si="28"/>
        <v>166.25</v>
      </c>
      <c r="F53" s="14">
        <f t="shared" si="9"/>
        <v>33.75</v>
      </c>
      <c r="G53" s="13">
        <f t="shared" si="29"/>
        <v>174.44</v>
      </c>
      <c r="H53" s="14">
        <f t="shared" si="10"/>
        <v>25.560000000000002</v>
      </c>
      <c r="I53" s="13">
        <f t="shared" si="30"/>
        <v>173.3125</v>
      </c>
      <c r="J53" s="14">
        <f t="shared" si="11"/>
        <v>26.6875</v>
      </c>
      <c r="K53" s="13">
        <f t="shared" si="31"/>
        <v>174.22210000000001</v>
      </c>
      <c r="L53" s="14">
        <f t="shared" si="12"/>
        <v>25.777899999999988</v>
      </c>
      <c r="M53" s="13">
        <f t="shared" si="32"/>
        <v>174.6541</v>
      </c>
      <c r="N53" s="14">
        <f t="shared" si="13"/>
        <v>25.3459</v>
      </c>
      <c r="O53" s="13">
        <f t="shared" si="33"/>
        <v>174.86439999999999</v>
      </c>
      <c r="P53" s="14">
        <f t="shared" si="14"/>
        <v>25.135600000000011</v>
      </c>
      <c r="Q53" s="13">
        <f t="shared" si="34"/>
        <v>175.07089999999999</v>
      </c>
      <c r="R53" s="14">
        <f t="shared" si="15"/>
        <v>24.929100000000005</v>
      </c>
      <c r="S53" s="13">
        <f t="shared" si="35"/>
        <v>175.27359999999999</v>
      </c>
      <c r="T53" s="14">
        <f t="shared" si="16"/>
        <v>24.726400000000012</v>
      </c>
      <c r="U53" s="13">
        <f t="shared" si="36"/>
        <v>175.4725</v>
      </c>
      <c r="V53" s="14">
        <f t="shared" si="17"/>
        <v>24.527500000000003</v>
      </c>
      <c r="W53" s="13">
        <f t="shared" si="37"/>
        <v>175.66759999999999</v>
      </c>
      <c r="X53" s="14">
        <f t="shared" si="18"/>
        <v>24.332400000000007</v>
      </c>
      <c r="Y53" s="13">
        <f t="shared" si="38"/>
        <v>175.85889999999998</v>
      </c>
      <c r="Z53" s="14">
        <f t="shared" si="19"/>
        <v>24.141100000000023</v>
      </c>
      <c r="AA53" s="13">
        <f t="shared" si="39"/>
        <v>176.04640000000001</v>
      </c>
      <c r="AB53" s="14">
        <f t="shared" si="20"/>
        <v>23.953599999999994</v>
      </c>
      <c r="AC53" s="13">
        <f t="shared" si="40"/>
        <v>176.23010000000002</v>
      </c>
      <c r="AD53" s="14">
        <f t="shared" si="21"/>
        <v>23.769899999999978</v>
      </c>
      <c r="AE53" s="13">
        <f t="shared" si="41"/>
        <v>176.41000000000003</v>
      </c>
      <c r="AF53" s="14">
        <f t="shared" si="22"/>
        <v>23.589999999999975</v>
      </c>
      <c r="AG53" s="13">
        <f t="shared" si="42"/>
        <v>176.58610000000002</v>
      </c>
      <c r="AH53" s="14">
        <f t="shared" si="23"/>
        <v>23.413899999999984</v>
      </c>
      <c r="AI53" s="13">
        <f t="shared" si="43"/>
        <v>177.2525</v>
      </c>
      <c r="AJ53" s="14">
        <f t="shared" si="24"/>
        <v>22.747500000000002</v>
      </c>
      <c r="AK53" s="13">
        <f t="shared" si="44"/>
        <v>177.7124</v>
      </c>
      <c r="AL53" s="14">
        <f t="shared" si="25"/>
        <v>22.287599999999998</v>
      </c>
      <c r="AM53" s="13">
        <f t="shared" si="45"/>
        <v>177.85810000000001</v>
      </c>
      <c r="AN53" s="14">
        <f t="shared" si="26"/>
        <v>22.141899999999993</v>
      </c>
    </row>
    <row r="54" spans="1:40" x14ac:dyDescent="0.25">
      <c r="A54" s="5">
        <v>5</v>
      </c>
      <c r="B54" s="8">
        <v>215</v>
      </c>
      <c r="C54" s="13">
        <f t="shared" si="27"/>
        <v>163.71200000000002</v>
      </c>
      <c r="D54" s="14">
        <f t="shared" si="8"/>
        <v>51.287999999999982</v>
      </c>
      <c r="E54" s="13">
        <f t="shared" si="28"/>
        <v>183.125</v>
      </c>
      <c r="F54" s="14">
        <f t="shared" si="9"/>
        <v>31.875</v>
      </c>
      <c r="G54" s="13">
        <f t="shared" si="29"/>
        <v>194.88799999999998</v>
      </c>
      <c r="H54" s="14">
        <f t="shared" si="10"/>
        <v>20.112000000000023</v>
      </c>
      <c r="I54" s="13">
        <f t="shared" si="30"/>
        <v>193.328125</v>
      </c>
      <c r="J54" s="14">
        <f t="shared" si="11"/>
        <v>21.671875</v>
      </c>
      <c r="K54" s="13">
        <f t="shared" si="31"/>
        <v>194.58664099999999</v>
      </c>
      <c r="L54" s="14">
        <f t="shared" si="12"/>
        <v>20.413359000000014</v>
      </c>
      <c r="M54" s="13">
        <f t="shared" si="32"/>
        <v>195.184279</v>
      </c>
      <c r="N54" s="14">
        <f t="shared" si="13"/>
        <v>19.815720999999996</v>
      </c>
      <c r="O54" s="13">
        <f t="shared" si="33"/>
        <v>195.47559200000001</v>
      </c>
      <c r="P54" s="14">
        <f t="shared" si="14"/>
        <v>19.524407999999994</v>
      </c>
      <c r="Q54" s="13">
        <f t="shared" si="34"/>
        <v>195.76205300000001</v>
      </c>
      <c r="R54" s="14">
        <f t="shared" si="15"/>
        <v>19.237946999999991</v>
      </c>
      <c r="S54" s="13">
        <f t="shared" si="35"/>
        <v>196.04377600000001</v>
      </c>
      <c r="T54" s="14">
        <f t="shared" si="16"/>
        <v>18.956223999999992</v>
      </c>
      <c r="U54" s="13">
        <f t="shared" si="36"/>
        <v>196.320875</v>
      </c>
      <c r="V54" s="14">
        <f t="shared" si="17"/>
        <v>18.679124999999999</v>
      </c>
      <c r="W54" s="13">
        <f t="shared" si="37"/>
        <v>196.59346400000001</v>
      </c>
      <c r="X54" s="14">
        <f t="shared" si="18"/>
        <v>18.406535999999988</v>
      </c>
      <c r="Y54" s="13">
        <f t="shared" si="38"/>
        <v>196.86165700000001</v>
      </c>
      <c r="Z54" s="14">
        <f t="shared" si="19"/>
        <v>18.138342999999992</v>
      </c>
      <c r="AA54" s="13">
        <f t="shared" si="39"/>
        <v>197.12556799999999</v>
      </c>
      <c r="AB54" s="14">
        <f t="shared" si="20"/>
        <v>17.874432000000013</v>
      </c>
      <c r="AC54" s="13">
        <f t="shared" si="40"/>
        <v>197.385311</v>
      </c>
      <c r="AD54" s="14">
        <f t="shared" si="21"/>
        <v>17.614688999999998</v>
      </c>
      <c r="AE54" s="13">
        <f t="shared" si="41"/>
        <v>197.64099999999999</v>
      </c>
      <c r="AF54" s="14">
        <f t="shared" si="22"/>
        <v>17.359000000000009</v>
      </c>
      <c r="AG54" s="13">
        <f t="shared" si="42"/>
        <v>197.89274900000001</v>
      </c>
      <c r="AH54" s="14">
        <f t="shared" si="23"/>
        <v>17.107250999999991</v>
      </c>
      <c r="AI54" s="13">
        <f t="shared" si="43"/>
        <v>198.86262500000001</v>
      </c>
      <c r="AJ54" s="14">
        <f t="shared" si="24"/>
        <v>16.137374999999992</v>
      </c>
      <c r="AK54" s="13">
        <f t="shared" si="44"/>
        <v>199.554248</v>
      </c>
      <c r="AL54" s="14">
        <f t="shared" si="25"/>
        <v>15.445751999999999</v>
      </c>
      <c r="AM54" s="13">
        <f t="shared" si="45"/>
        <v>199.778581</v>
      </c>
      <c r="AN54" s="14">
        <f t="shared" si="26"/>
        <v>15.221418999999997</v>
      </c>
    </row>
    <row r="55" spans="1:40" x14ac:dyDescent="0.25">
      <c r="A55" s="5">
        <v>6</v>
      </c>
      <c r="B55" s="8">
        <v>205</v>
      </c>
      <c r="C55" s="13">
        <f t="shared" si="27"/>
        <v>173.96960000000001</v>
      </c>
      <c r="D55" s="14">
        <f t="shared" si="8"/>
        <v>31.030399999999986</v>
      </c>
      <c r="E55" s="13">
        <f t="shared" si="28"/>
        <v>199.0625</v>
      </c>
      <c r="F55" s="14">
        <f t="shared" si="9"/>
        <v>5.9375</v>
      </c>
      <c r="G55" s="13">
        <f t="shared" si="29"/>
        <v>210.9776</v>
      </c>
      <c r="H55" s="14">
        <f t="shared" si="10"/>
        <v>5.9775999999999954</v>
      </c>
      <c r="I55" s="13">
        <f t="shared" si="30"/>
        <v>209.58203125</v>
      </c>
      <c r="J55" s="14">
        <f t="shared" si="11"/>
        <v>4.58203125</v>
      </c>
      <c r="K55" s="13">
        <f t="shared" si="31"/>
        <v>210.71319460999999</v>
      </c>
      <c r="L55" s="14">
        <f t="shared" si="12"/>
        <v>5.713194609999988</v>
      </c>
      <c r="M55" s="13">
        <f t="shared" si="32"/>
        <v>211.23501300999999</v>
      </c>
      <c r="N55" s="14">
        <f t="shared" si="13"/>
        <v>6.2350130099999888</v>
      </c>
      <c r="O55" s="13">
        <f t="shared" si="33"/>
        <v>211.48560656000001</v>
      </c>
      <c r="P55" s="14">
        <f t="shared" si="14"/>
        <v>6.4856065600000079</v>
      </c>
      <c r="Q55" s="13">
        <f t="shared" si="34"/>
        <v>211.72954901</v>
      </c>
      <c r="R55" s="14">
        <f t="shared" si="15"/>
        <v>6.7295490099999995</v>
      </c>
      <c r="S55" s="13">
        <f t="shared" si="35"/>
        <v>211.96700415999999</v>
      </c>
      <c r="T55" s="14">
        <f t="shared" si="16"/>
        <v>6.9670041599999877</v>
      </c>
      <c r="U55" s="13">
        <f t="shared" si="36"/>
        <v>212.19813125000002</v>
      </c>
      <c r="V55" s="14">
        <f t="shared" si="17"/>
        <v>7.1981312500000172</v>
      </c>
      <c r="W55" s="13">
        <f t="shared" si="37"/>
        <v>212.42308496000001</v>
      </c>
      <c r="X55" s="14">
        <f t="shared" si="18"/>
        <v>7.4230849600000113</v>
      </c>
      <c r="Y55" s="13">
        <f t="shared" si="38"/>
        <v>212.64201541</v>
      </c>
      <c r="Z55" s="14">
        <f t="shared" si="19"/>
        <v>7.6420154099999991</v>
      </c>
      <c r="AA55" s="13">
        <f t="shared" si="39"/>
        <v>212.85506815999997</v>
      </c>
      <c r="AB55" s="14">
        <f t="shared" si="20"/>
        <v>7.8550681599999734</v>
      </c>
      <c r="AC55" s="13">
        <f t="shared" si="40"/>
        <v>213.06238421</v>
      </c>
      <c r="AD55" s="14">
        <f t="shared" si="21"/>
        <v>8.0623842100000047</v>
      </c>
      <c r="AE55" s="13">
        <f t="shared" si="41"/>
        <v>213.26409999999998</v>
      </c>
      <c r="AF55" s="14">
        <f t="shared" si="22"/>
        <v>8.2640999999999849</v>
      </c>
      <c r="AG55" s="13">
        <f t="shared" si="42"/>
        <v>213.46034741</v>
      </c>
      <c r="AH55" s="14">
        <f t="shared" si="23"/>
        <v>8.4603474099999971</v>
      </c>
      <c r="AI55" s="13">
        <f t="shared" si="43"/>
        <v>214.19313125000002</v>
      </c>
      <c r="AJ55" s="14">
        <f t="shared" si="24"/>
        <v>9.1931312500000217</v>
      </c>
      <c r="AK55" s="13">
        <f t="shared" si="44"/>
        <v>214.69108495999998</v>
      </c>
      <c r="AL55" s="14">
        <f t="shared" si="25"/>
        <v>9.6910849599999835</v>
      </c>
      <c r="AM55" s="13">
        <f t="shared" si="45"/>
        <v>214.84778581</v>
      </c>
      <c r="AN55" s="14">
        <f t="shared" si="26"/>
        <v>9.8477858100000049</v>
      </c>
    </row>
    <row r="56" spans="1:40" x14ac:dyDescent="0.25">
      <c r="A56" s="5">
        <v>7</v>
      </c>
      <c r="B56" s="8">
        <v>170</v>
      </c>
      <c r="C56" s="13">
        <f t="shared" si="27"/>
        <v>180.17568000000003</v>
      </c>
      <c r="D56" s="14">
        <f t="shared" si="8"/>
        <v>10.175680000000028</v>
      </c>
      <c r="E56" s="13">
        <f t="shared" si="28"/>
        <v>202.03125</v>
      </c>
      <c r="F56" s="14">
        <f t="shared" si="9"/>
        <v>32.03125</v>
      </c>
      <c r="G56" s="13">
        <f t="shared" si="29"/>
        <v>206.19551999999999</v>
      </c>
      <c r="H56" s="14">
        <f t="shared" si="10"/>
        <v>36.195519999999988</v>
      </c>
      <c r="I56" s="13">
        <f t="shared" si="30"/>
        <v>206.1455078125</v>
      </c>
      <c r="J56" s="14">
        <f t="shared" si="11"/>
        <v>36.1455078125</v>
      </c>
      <c r="K56" s="13">
        <f t="shared" si="31"/>
        <v>206.19977086810002</v>
      </c>
      <c r="L56" s="14">
        <f t="shared" si="12"/>
        <v>36.199770868100018</v>
      </c>
      <c r="M56" s="13">
        <f t="shared" si="32"/>
        <v>206.18465247189999</v>
      </c>
      <c r="N56" s="14">
        <f t="shared" si="13"/>
        <v>36.184652471899994</v>
      </c>
      <c r="O56" s="13">
        <f t="shared" si="33"/>
        <v>206.16740918080001</v>
      </c>
      <c r="P56" s="14">
        <f t="shared" si="14"/>
        <v>36.167409180800007</v>
      </c>
      <c r="Q56" s="13">
        <f t="shared" si="34"/>
        <v>206.1440233317</v>
      </c>
      <c r="R56" s="14">
        <f t="shared" si="15"/>
        <v>36.144023331699998</v>
      </c>
      <c r="S56" s="13">
        <f t="shared" si="35"/>
        <v>206.1147206656</v>
      </c>
      <c r="T56" s="14">
        <f t="shared" si="16"/>
        <v>36.114720665600004</v>
      </c>
      <c r="U56" s="13">
        <f t="shared" si="36"/>
        <v>206.07971968750002</v>
      </c>
      <c r="V56" s="14">
        <f t="shared" si="17"/>
        <v>36.079719687500017</v>
      </c>
      <c r="W56" s="13">
        <f t="shared" si="37"/>
        <v>206.03923189440002</v>
      </c>
      <c r="X56" s="14">
        <f t="shared" si="18"/>
        <v>36.039231894400018</v>
      </c>
      <c r="Y56" s="13">
        <f t="shared" si="38"/>
        <v>205.99346200330001</v>
      </c>
      <c r="Z56" s="14">
        <f t="shared" si="19"/>
        <v>35.99346200330001</v>
      </c>
      <c r="AA56" s="13">
        <f t="shared" si="39"/>
        <v>205.94260817919999</v>
      </c>
      <c r="AB56" s="14">
        <f t="shared" si="20"/>
        <v>35.942608179199993</v>
      </c>
      <c r="AC56" s="13">
        <f t="shared" si="40"/>
        <v>205.8868622631</v>
      </c>
      <c r="AD56" s="14">
        <f t="shared" si="21"/>
        <v>35.886862263099999</v>
      </c>
      <c r="AE56" s="13">
        <f t="shared" si="41"/>
        <v>205.82640999999998</v>
      </c>
      <c r="AF56" s="14">
        <f t="shared" si="22"/>
        <v>35.826409999999981</v>
      </c>
      <c r="AG56" s="13">
        <f t="shared" si="42"/>
        <v>205.76143126689999</v>
      </c>
      <c r="AH56" s="14">
        <f t="shared" si="23"/>
        <v>35.76143126689999</v>
      </c>
      <c r="AI56" s="13">
        <f t="shared" si="43"/>
        <v>205.45965656250002</v>
      </c>
      <c r="AJ56" s="14">
        <f t="shared" si="24"/>
        <v>35.459656562500015</v>
      </c>
      <c r="AK56" s="13">
        <f t="shared" si="44"/>
        <v>205.19382169920002</v>
      </c>
      <c r="AL56" s="14">
        <f t="shared" si="25"/>
        <v>35.193821699200015</v>
      </c>
      <c r="AM56" s="13">
        <f t="shared" si="45"/>
        <v>205.09847785809998</v>
      </c>
      <c r="AN56" s="14">
        <f t="shared" si="26"/>
        <v>35.098477858099983</v>
      </c>
    </row>
    <row r="57" spans="1:40" x14ac:dyDescent="0.25">
      <c r="A57" s="5">
        <v>8</v>
      </c>
      <c r="B57" s="8">
        <v>142</v>
      </c>
      <c r="C57" s="13">
        <f t="shared" si="27"/>
        <v>178.14054400000003</v>
      </c>
      <c r="D57" s="14">
        <f t="shared" si="8"/>
        <v>36.140544000000034</v>
      </c>
      <c r="E57" s="13">
        <f t="shared" si="28"/>
        <v>186.015625</v>
      </c>
      <c r="F57" s="14">
        <f t="shared" si="9"/>
        <v>44.015625</v>
      </c>
      <c r="G57" s="13">
        <f t="shared" si="29"/>
        <v>177.239104</v>
      </c>
      <c r="H57" s="14">
        <f t="shared" si="10"/>
        <v>35.239103999999998</v>
      </c>
      <c r="I57" s="13">
        <f t="shared" si="30"/>
        <v>179.036376953125</v>
      </c>
      <c r="J57" s="14">
        <f t="shared" si="11"/>
        <v>37.036376953125</v>
      </c>
      <c r="K57" s="13">
        <f t="shared" si="31"/>
        <v>177.60195188230102</v>
      </c>
      <c r="L57" s="14">
        <f t="shared" si="12"/>
        <v>35.601951882301023</v>
      </c>
      <c r="M57" s="13">
        <f t="shared" si="32"/>
        <v>176.87508396966101</v>
      </c>
      <c r="N57" s="14">
        <f t="shared" si="13"/>
        <v>34.875083969661006</v>
      </c>
      <c r="O57" s="13">
        <f t="shared" si="33"/>
        <v>176.51013365254403</v>
      </c>
      <c r="P57" s="14">
        <f t="shared" si="14"/>
        <v>34.510133652544027</v>
      </c>
      <c r="Q57" s="13">
        <f t="shared" si="34"/>
        <v>176.144483966389</v>
      </c>
      <c r="R57" s="14">
        <f t="shared" si="15"/>
        <v>34.144483966389004</v>
      </c>
      <c r="S57" s="13">
        <f t="shared" si="35"/>
        <v>175.778355306496</v>
      </c>
      <c r="T57" s="14">
        <f t="shared" si="16"/>
        <v>33.778355306495996</v>
      </c>
      <c r="U57" s="13">
        <f t="shared" si="36"/>
        <v>175.41195795312501</v>
      </c>
      <c r="V57" s="14">
        <f t="shared" si="17"/>
        <v>33.411957953125011</v>
      </c>
      <c r="W57" s="13">
        <f t="shared" si="37"/>
        <v>175.045492465216</v>
      </c>
      <c r="X57" s="14">
        <f t="shared" si="18"/>
        <v>33.045492465216</v>
      </c>
      <c r="Y57" s="13">
        <f t="shared" si="38"/>
        <v>174.67915006042901</v>
      </c>
      <c r="Z57" s="14">
        <f t="shared" si="19"/>
        <v>32.679150060429009</v>
      </c>
      <c r="AA57" s="13">
        <f t="shared" si="39"/>
        <v>174.31311298150399</v>
      </c>
      <c r="AB57" s="14">
        <f t="shared" si="20"/>
        <v>32.313112981503991</v>
      </c>
      <c r="AC57" s="13">
        <f t="shared" si="40"/>
        <v>173.94755484894102</v>
      </c>
      <c r="AD57" s="14">
        <f t="shared" si="21"/>
        <v>31.947554848941024</v>
      </c>
      <c r="AE57" s="13">
        <f t="shared" si="41"/>
        <v>173.582641</v>
      </c>
      <c r="AF57" s="14">
        <f t="shared" si="22"/>
        <v>31.582640999999995</v>
      </c>
      <c r="AG57" s="13">
        <f t="shared" si="42"/>
        <v>173.218528814021</v>
      </c>
      <c r="AH57" s="14">
        <f t="shared" si="23"/>
        <v>31.218528814020999</v>
      </c>
      <c r="AI57" s="13">
        <f t="shared" si="43"/>
        <v>171.77298282812501</v>
      </c>
      <c r="AJ57" s="14">
        <f t="shared" si="24"/>
        <v>29.772982828125009</v>
      </c>
      <c r="AK57" s="13">
        <f t="shared" si="44"/>
        <v>170.70387643398399</v>
      </c>
      <c r="AL57" s="14">
        <f t="shared" si="25"/>
        <v>28.703876433983993</v>
      </c>
      <c r="AM57" s="13">
        <f t="shared" si="45"/>
        <v>170.35098477858102</v>
      </c>
      <c r="AN57" s="14">
        <f t="shared" si="26"/>
        <v>28.350984778581022</v>
      </c>
    </row>
    <row r="58" spans="1:40" x14ac:dyDescent="0.25">
      <c r="A58" s="5">
        <v>9</v>
      </c>
      <c r="B58" s="8">
        <v>119</v>
      </c>
      <c r="C58" s="13">
        <f t="shared" si="27"/>
        <v>170.91243520000003</v>
      </c>
      <c r="D58" s="14">
        <f t="shared" si="8"/>
        <v>51.912435200000033</v>
      </c>
      <c r="E58" s="13">
        <f t="shared" si="28"/>
        <v>164.0078125</v>
      </c>
      <c r="F58" s="14">
        <f t="shared" si="9"/>
        <v>45.0078125</v>
      </c>
      <c r="G58" s="13">
        <f t="shared" si="29"/>
        <v>149.04782080000001</v>
      </c>
      <c r="H58" s="14">
        <f t="shared" si="10"/>
        <v>30.047820800000011</v>
      </c>
      <c r="I58" s="13">
        <f t="shared" si="30"/>
        <v>151.25909423828125</v>
      </c>
      <c r="J58" s="14">
        <f t="shared" si="11"/>
        <v>32.25909423828125</v>
      </c>
      <c r="K58" s="13">
        <f t="shared" si="31"/>
        <v>149.47640989528321</v>
      </c>
      <c r="L58" s="14">
        <f t="shared" si="12"/>
        <v>30.476409895283211</v>
      </c>
      <c r="M58" s="13">
        <f t="shared" si="32"/>
        <v>148.62626595423558</v>
      </c>
      <c r="N58" s="14">
        <f t="shared" si="13"/>
        <v>29.626265954235578</v>
      </c>
      <c r="O58" s="13">
        <f t="shared" si="33"/>
        <v>148.21182405745793</v>
      </c>
      <c r="P58" s="14">
        <f t="shared" si="14"/>
        <v>29.211824057457932</v>
      </c>
      <c r="Q58" s="13">
        <f t="shared" si="34"/>
        <v>147.80456227428613</v>
      </c>
      <c r="R58" s="14">
        <f t="shared" si="15"/>
        <v>28.804562274286127</v>
      </c>
      <c r="S58" s="13">
        <f t="shared" si="35"/>
        <v>147.40453684903937</v>
      </c>
      <c r="T58" s="14">
        <f t="shared" si="16"/>
        <v>28.404536849039374</v>
      </c>
      <c r="U58" s="13">
        <f t="shared" si="36"/>
        <v>147.01179369296875</v>
      </c>
      <c r="V58" s="14">
        <f t="shared" si="17"/>
        <v>28.011793692968752</v>
      </c>
      <c r="W58" s="13">
        <f t="shared" si="37"/>
        <v>146.62636894513025</v>
      </c>
      <c r="X58" s="14">
        <f t="shared" si="18"/>
        <v>27.626368945130253</v>
      </c>
      <c r="Y58" s="13">
        <f t="shared" si="38"/>
        <v>146.24828950785579</v>
      </c>
      <c r="Z58" s="14">
        <f t="shared" si="19"/>
        <v>27.248289507855787</v>
      </c>
      <c r="AA58" s="13">
        <f t="shared" si="39"/>
        <v>145.87757355778047</v>
      </c>
      <c r="AB58" s="14">
        <f t="shared" si="20"/>
        <v>26.877573557780465</v>
      </c>
      <c r="AC58" s="13">
        <f t="shared" si="40"/>
        <v>145.51423103338351</v>
      </c>
      <c r="AD58" s="14">
        <f t="shared" si="21"/>
        <v>26.51423103338351</v>
      </c>
      <c r="AE58" s="13">
        <f t="shared" si="41"/>
        <v>145.1582641</v>
      </c>
      <c r="AF58" s="14">
        <f t="shared" si="22"/>
        <v>26.158264099999997</v>
      </c>
      <c r="AG58" s="13">
        <f t="shared" si="42"/>
        <v>144.80966759326188</v>
      </c>
      <c r="AH58" s="14">
        <f t="shared" si="23"/>
        <v>25.809667593261878</v>
      </c>
      <c r="AI58" s="13">
        <f t="shared" si="43"/>
        <v>143.48864914140626</v>
      </c>
      <c r="AJ58" s="14">
        <f t="shared" si="24"/>
        <v>24.488649141406256</v>
      </c>
      <c r="AK58" s="13">
        <f t="shared" si="44"/>
        <v>142.57407752867968</v>
      </c>
      <c r="AL58" s="14">
        <f t="shared" si="25"/>
        <v>23.57407752867968</v>
      </c>
      <c r="AM58" s="13">
        <f t="shared" si="45"/>
        <v>142.28350984778584</v>
      </c>
      <c r="AN58" s="14">
        <f t="shared" si="26"/>
        <v>23.283509847785837</v>
      </c>
    </row>
    <row r="59" spans="1:40" x14ac:dyDescent="0.25">
      <c r="A59" s="5">
        <v>10</v>
      </c>
      <c r="B59" s="8">
        <v>147</v>
      </c>
      <c r="C59" s="13">
        <f t="shared" si="27"/>
        <v>160.52994816000003</v>
      </c>
      <c r="D59" s="14">
        <f t="shared" si="8"/>
        <v>13.529948160000032</v>
      </c>
      <c r="E59" s="13">
        <f t="shared" si="28"/>
        <v>141.50390625</v>
      </c>
      <c r="F59" s="14">
        <f t="shared" si="9"/>
        <v>5.49609375</v>
      </c>
      <c r="G59" s="13">
        <f t="shared" si="29"/>
        <v>125.00956416</v>
      </c>
      <c r="H59" s="14">
        <f t="shared" si="10"/>
        <v>21.990435840000004</v>
      </c>
      <c r="I59" s="13">
        <f t="shared" si="30"/>
        <v>127.06477355957031</v>
      </c>
      <c r="J59" s="14">
        <f t="shared" si="11"/>
        <v>19.935226440429688</v>
      </c>
      <c r="K59" s="13">
        <f t="shared" si="31"/>
        <v>125.40004607800947</v>
      </c>
      <c r="L59" s="14">
        <f t="shared" si="12"/>
        <v>21.599953921990533</v>
      </c>
      <c r="M59" s="13">
        <f t="shared" si="32"/>
        <v>124.62899053130475</v>
      </c>
      <c r="N59" s="14">
        <f t="shared" si="13"/>
        <v>22.371009468695249</v>
      </c>
      <c r="O59" s="13">
        <f t="shared" si="33"/>
        <v>124.25812833034243</v>
      </c>
      <c r="P59" s="14">
        <f t="shared" si="14"/>
        <v>22.74187166965757</v>
      </c>
      <c r="Q59" s="13">
        <f t="shared" si="34"/>
        <v>123.89677558662865</v>
      </c>
      <c r="R59" s="14">
        <f t="shared" si="15"/>
        <v>23.10322441337135</v>
      </c>
      <c r="S59" s="13">
        <f t="shared" si="35"/>
        <v>123.5447258958463</v>
      </c>
      <c r="T59" s="14">
        <f t="shared" si="16"/>
        <v>23.455274104153702</v>
      </c>
      <c r="U59" s="13">
        <f t="shared" si="36"/>
        <v>123.20176905394531</v>
      </c>
      <c r="V59" s="14">
        <f t="shared" si="17"/>
        <v>23.798230946054687</v>
      </c>
      <c r="W59" s="13">
        <f t="shared" si="37"/>
        <v>122.86769165231824</v>
      </c>
      <c r="X59" s="14">
        <f t="shared" si="18"/>
        <v>24.132308347681757</v>
      </c>
      <c r="Y59" s="13">
        <f t="shared" si="38"/>
        <v>122.54227763602125</v>
      </c>
      <c r="Z59" s="14">
        <f t="shared" si="19"/>
        <v>24.457722363978746</v>
      </c>
      <c r="AA59" s="13">
        <f t="shared" si="39"/>
        <v>122.22530882693366</v>
      </c>
      <c r="AB59" s="14">
        <f t="shared" si="20"/>
        <v>24.774691173066344</v>
      </c>
      <c r="AC59" s="13">
        <f t="shared" si="40"/>
        <v>121.91656541367217</v>
      </c>
      <c r="AD59" s="14">
        <f t="shared" si="21"/>
        <v>25.083434586327826</v>
      </c>
      <c r="AE59" s="13">
        <f t="shared" si="41"/>
        <v>121.61582641000001</v>
      </c>
      <c r="AF59" s="14">
        <f t="shared" si="22"/>
        <v>25.384173589999989</v>
      </c>
      <c r="AG59" s="13">
        <f t="shared" si="42"/>
        <v>121.32287008339357</v>
      </c>
      <c r="AH59" s="14">
        <f t="shared" si="23"/>
        <v>25.677129916606432</v>
      </c>
      <c r="AI59" s="13">
        <f t="shared" si="43"/>
        <v>120.22443245707032</v>
      </c>
      <c r="AJ59" s="14">
        <f t="shared" si="24"/>
        <v>26.775567542929679</v>
      </c>
      <c r="AK59" s="13">
        <f t="shared" si="44"/>
        <v>119.4714815505736</v>
      </c>
      <c r="AL59" s="14">
        <f t="shared" si="25"/>
        <v>27.5285184494264</v>
      </c>
      <c r="AM59" s="13">
        <f t="shared" si="45"/>
        <v>119.23283509847786</v>
      </c>
      <c r="AN59" s="14">
        <f t="shared" si="26"/>
        <v>27.767164901522136</v>
      </c>
    </row>
    <row r="60" spans="1:40" x14ac:dyDescent="0.25">
      <c r="A60" s="5">
        <v>11</v>
      </c>
      <c r="B60" s="8">
        <v>162</v>
      </c>
      <c r="C60" s="13">
        <f t="shared" ref="C60:C69" si="46">C59+($C$49*(B59-C59))</f>
        <v>157.82395852800002</v>
      </c>
      <c r="D60" s="14">
        <f t="shared" si="8"/>
        <v>4.1760414719999801</v>
      </c>
      <c r="E60" s="13">
        <f>E59+($E$49*($B$59-E59))</f>
        <v>144.251953125</v>
      </c>
      <c r="F60" s="14">
        <f t="shared" si="9"/>
        <v>17.748046875</v>
      </c>
      <c r="G60" s="13">
        <f>G59+(G49*($B$59-G59))</f>
        <v>142.60191283200001</v>
      </c>
      <c r="H60" s="14">
        <f t="shared" si="10"/>
        <v>19.398087167999989</v>
      </c>
      <c r="I60" s="13">
        <f>I59+(I49*($B$59-I59))</f>
        <v>142.01619338989258</v>
      </c>
      <c r="J60" s="14">
        <f t="shared" ref="J60:J69" si="47">ABS($B34-I60)</f>
        <v>19.983806610107422</v>
      </c>
      <c r="K60" s="13">
        <f>K59+(K49*($B$59-K59))</f>
        <v>142.46400967638198</v>
      </c>
      <c r="L60" s="14">
        <f t="shared" ref="L60:L69" si="48">ABS($B34-K60)</f>
        <v>19.535990323618023</v>
      </c>
      <c r="M60" s="13">
        <f>M59+(M49*($B$59-M59))</f>
        <v>142.7495082009479</v>
      </c>
      <c r="N60" s="14">
        <f t="shared" ref="N60:N69" si="49">ABS($B34-M60)</f>
        <v>19.250491799052099</v>
      </c>
      <c r="O60" s="13">
        <f>O59+(O49*($B$59-O59))</f>
        <v>142.90646309946163</v>
      </c>
      <c r="P60" s="14">
        <f t="shared" ref="P60:P69" si="50">ABS($B34-O60)</f>
        <v>19.093536900538368</v>
      </c>
      <c r="Q60" s="13">
        <f>Q59+(Q49*($B$59-Q59))</f>
        <v>143.07245184972686</v>
      </c>
      <c r="R60" s="14">
        <f t="shared" ref="R60:R69" si="51">ABS($B34-Q60)</f>
        <v>18.92754815027314</v>
      </c>
      <c r="S60" s="13">
        <f>S59+(S49*($B$59-S59))</f>
        <v>143.24715614333542</v>
      </c>
      <c r="T60" s="14">
        <f t="shared" ref="T60:T69" si="52">ABS($B34-S60)</f>
        <v>18.752843856664583</v>
      </c>
      <c r="U60" s="13">
        <f>U59+(U49*($B$59-U59))</f>
        <v>143.43026535809179</v>
      </c>
      <c r="V60" s="14">
        <f t="shared" ref="V60:V69" si="53">ABS($B34-U60)</f>
        <v>18.569734641908212</v>
      </c>
      <c r="W60" s="13">
        <f>W59+(W49*($B$59-W59))</f>
        <v>143.62147683132454</v>
      </c>
      <c r="X60" s="14">
        <f t="shared" ref="X60:X69" si="54">ABS($B34-W60)</f>
        <v>18.378523168675457</v>
      </c>
      <c r="Y60" s="13">
        <f>Y59+(Y49*($B$59-Y59))</f>
        <v>143.82049609268276</v>
      </c>
      <c r="Z60" s="14">
        <f t="shared" ref="Z60:Z69" si="55">ABS($B34-Y60)</f>
        <v>18.17950390731724</v>
      </c>
      <c r="AA60" s="13">
        <f>AA59+(AA49*($B$59-AA59))</f>
        <v>144.02703705923204</v>
      </c>
      <c r="AB60" s="14">
        <f t="shared" ref="AB60:AB69" si="56">ABS($B34-AA60)</f>
        <v>17.972962940767957</v>
      </c>
      <c r="AC60" s="13">
        <f>AC59+(AC49*($B$59-AC59))</f>
        <v>144.24082219550394</v>
      </c>
      <c r="AD60" s="14">
        <f t="shared" ref="AD60:AD69" si="57">ABS($B34-AC60)</f>
        <v>17.759177804496062</v>
      </c>
      <c r="AE60" s="13">
        <f>AE59+(AE49*($B$59-AE59))</f>
        <v>144.46158264100001</v>
      </c>
      <c r="AF60" s="14">
        <f t="shared" ref="AF60:AF69" si="58">ABS($B34-AE60)</f>
        <v>17.538417358999993</v>
      </c>
      <c r="AG60" s="13">
        <f>AG59+(AG49*($B$59-AG59))</f>
        <v>144.68905830750543</v>
      </c>
      <c r="AH60" s="14">
        <f t="shared" ref="AH60:AH69" si="59">ABS($B34-AG60)</f>
        <v>17.310941692494566</v>
      </c>
      <c r="AI60" s="13">
        <f>AI59+(AI49*($B$59-AI59))</f>
        <v>145.6612216228535</v>
      </c>
      <c r="AJ60" s="14">
        <f t="shared" ref="AJ60:AJ69" si="60">ABS($B34-AI60)</f>
        <v>16.338778377146497</v>
      </c>
      <c r="AK60" s="13">
        <f>AK59+(AK49*($B$59-AK59))</f>
        <v>146.44942963101147</v>
      </c>
      <c r="AL60" s="14">
        <f t="shared" ref="AL60:AL69" si="61">ABS($B34-AK60)</f>
        <v>15.550570368988531</v>
      </c>
      <c r="AM60" s="13">
        <f>AM59+(AM49*($B$59-AM59))</f>
        <v>146.72232835098478</v>
      </c>
      <c r="AN60" s="14">
        <f t="shared" ref="AN60:AN69" si="62">ABS($B34-AM60)</f>
        <v>15.277671649015218</v>
      </c>
    </row>
    <row r="61" spans="1:40" x14ac:dyDescent="0.25">
      <c r="A61" s="5">
        <v>12</v>
      </c>
      <c r="B61" s="8">
        <v>180</v>
      </c>
      <c r="C61" s="13">
        <f t="shared" si="46"/>
        <v>158.65916682240001</v>
      </c>
      <c r="D61" s="14">
        <f t="shared" si="8"/>
        <v>21.34083317759999</v>
      </c>
      <c r="E61" s="13">
        <f>E60+($E$49*($B$60-E60))</f>
        <v>153.1259765625</v>
      </c>
      <c r="F61" s="14">
        <f t="shared" si="9"/>
        <v>26.8740234375</v>
      </c>
      <c r="G61" s="13">
        <f>G60+(G49*($B$60-G60))</f>
        <v>158.1203825664</v>
      </c>
      <c r="H61" s="14">
        <f t="shared" si="10"/>
        <v>21.879617433600004</v>
      </c>
      <c r="I61" s="13">
        <f>I60+(I49*($B$60-I60))</f>
        <v>157.00404834747314</v>
      </c>
      <c r="J61" s="14">
        <f t="shared" si="47"/>
        <v>22.995951652526855</v>
      </c>
      <c r="K61" s="13">
        <f>K60+(K49*($B$60-K60))</f>
        <v>157.8974420320402</v>
      </c>
      <c r="L61" s="14">
        <f t="shared" si="48"/>
        <v>22.102557967959797</v>
      </c>
      <c r="M61" s="13">
        <f>M60+(M49*($B$60-M60))</f>
        <v>158.3424065581801</v>
      </c>
      <c r="N61" s="14">
        <f t="shared" si="49"/>
        <v>21.657593441819898</v>
      </c>
      <c r="O61" s="13">
        <f>O60+(O49*($B$60-O60))</f>
        <v>158.56316335790308</v>
      </c>
      <c r="P61" s="14">
        <f t="shared" si="50"/>
        <v>21.436836642096921</v>
      </c>
      <c r="Q61" s="13">
        <f>Q60+(Q49*($B$60-Q60))</f>
        <v>158.78231681445357</v>
      </c>
      <c r="R61" s="14">
        <f t="shared" si="51"/>
        <v>21.217683185546434</v>
      </c>
      <c r="S61" s="13">
        <f>S60+(S49*($B$60-S60))</f>
        <v>158.99954498293366</v>
      </c>
      <c r="T61" s="14">
        <f t="shared" si="52"/>
        <v>21.000455017066344</v>
      </c>
      <c r="U61" s="13">
        <f>U60+(U49*($B$60-U60))</f>
        <v>159.21453980371376</v>
      </c>
      <c r="V61" s="14">
        <f t="shared" si="53"/>
        <v>20.785460196286238</v>
      </c>
      <c r="W61" s="13">
        <f>W60+(W49*($B$60-W60))</f>
        <v>159.42700675638542</v>
      </c>
      <c r="X61" s="14">
        <f t="shared" si="54"/>
        <v>20.572993243614576</v>
      </c>
      <c r="Y61" s="13">
        <f>Y60+(Y49*($B$60-Y60))</f>
        <v>159.63666449204877</v>
      </c>
      <c r="Z61" s="14">
        <f t="shared" si="55"/>
        <v>20.363335507951234</v>
      </c>
      <c r="AA61" s="13">
        <f>AA60+(AA49*($B$60-AA60))</f>
        <v>159.84324444710785</v>
      </c>
      <c r="AB61" s="14">
        <f t="shared" si="56"/>
        <v>20.15675555289215</v>
      </c>
      <c r="AC61" s="13">
        <f>AC60+(AC49*($B$60-AC60))</f>
        <v>160.04649044150543</v>
      </c>
      <c r="AD61" s="14">
        <f t="shared" si="57"/>
        <v>19.953509558494574</v>
      </c>
      <c r="AE61" s="13">
        <f>AE60+(AE49*($B$60-AE60))</f>
        <v>160.24615826409999</v>
      </c>
      <c r="AF61" s="14">
        <f t="shared" si="58"/>
        <v>19.753841735900011</v>
      </c>
      <c r="AG61" s="13">
        <f>AG60+(AG49*($B$60-AG60))</f>
        <v>160.4420152476755</v>
      </c>
      <c r="AH61" s="14">
        <f t="shared" si="59"/>
        <v>19.557984752324501</v>
      </c>
      <c r="AI61" s="13">
        <f>AI60+(AI49*($B$60-AI60))</f>
        <v>161.18306108114268</v>
      </c>
      <c r="AJ61" s="14">
        <f t="shared" si="60"/>
        <v>18.816938918857318</v>
      </c>
      <c r="AK61" s="13">
        <f>AK60+(AK49*($B$60-AK60))</f>
        <v>161.68898859262023</v>
      </c>
      <c r="AL61" s="14">
        <f t="shared" si="61"/>
        <v>18.311011407379766</v>
      </c>
      <c r="AM61" s="13">
        <f>AM60+(AM49*($B$60-AM60))</f>
        <v>161.84722328350983</v>
      </c>
      <c r="AN61" s="14">
        <f t="shared" si="62"/>
        <v>18.152776716490166</v>
      </c>
    </row>
    <row r="62" spans="1:40" x14ac:dyDescent="0.25">
      <c r="A62" s="5">
        <v>13</v>
      </c>
      <c r="B62" s="8">
        <v>199</v>
      </c>
      <c r="C62" s="13">
        <f t="shared" si="46"/>
        <v>162.92733345792001</v>
      </c>
      <c r="D62" s="14">
        <f t="shared" si="8"/>
        <v>36.072666542079986</v>
      </c>
      <c r="E62" s="13">
        <f t="shared" ref="E62:E69" si="63">E61+($E$49*(B61-E61))</f>
        <v>166.56298828125</v>
      </c>
      <c r="F62" s="14">
        <f t="shared" si="9"/>
        <v>32.43701171875</v>
      </c>
      <c r="G62" s="13">
        <f t="shared" ref="G62:G69" si="64">G$49*$B35+(1-G$49)*G61</f>
        <v>175.62407651327999</v>
      </c>
      <c r="H62" s="14">
        <f t="shared" si="10"/>
        <v>23.375923486720012</v>
      </c>
      <c r="I62" s="13">
        <f t="shared" ref="I62:I69" si="65">I$49*$B35+(1-I$49)*I61</f>
        <v>174.25101208686829</v>
      </c>
      <c r="J62" s="14">
        <f t="shared" si="47"/>
        <v>24.748987913131714</v>
      </c>
      <c r="K62" s="13">
        <f t="shared" ref="K62:K69" si="66">K$49*$B35+(1-K$49)*K61</f>
        <v>175.35846282672844</v>
      </c>
      <c r="L62" s="14">
        <f t="shared" si="48"/>
        <v>23.641537173271558</v>
      </c>
      <c r="M62" s="13">
        <f t="shared" ref="M62:M69" si="67">M$49*$B35+(1-M$49)*M61</f>
        <v>175.88505724605423</v>
      </c>
      <c r="N62" s="14">
        <f t="shared" si="49"/>
        <v>23.114942753945769</v>
      </c>
      <c r="O62" s="13">
        <f t="shared" ref="O62:O69" si="68">O$49*$B35+(1-O$49)*O61</f>
        <v>176.14136940442256</v>
      </c>
      <c r="P62" s="14">
        <f t="shared" si="50"/>
        <v>22.858630595577438</v>
      </c>
      <c r="Q62" s="13">
        <f t="shared" ref="Q62:Q69" si="69">Q$49*$B35+(1-Q$49)*Q61</f>
        <v>176.39299385845712</v>
      </c>
      <c r="R62" s="14">
        <f t="shared" si="51"/>
        <v>22.607006141542882</v>
      </c>
      <c r="S62" s="13">
        <f t="shared" ref="S62:S69" si="70">S$49*$B35+(1-S$49)*S61</f>
        <v>176.63992719726937</v>
      </c>
      <c r="T62" s="14">
        <f t="shared" si="52"/>
        <v>22.360072802730627</v>
      </c>
      <c r="U62" s="13">
        <f t="shared" ref="U62:U69" si="71">U$49*$B35+(1-U$49)*U61</f>
        <v>176.88218097055707</v>
      </c>
      <c r="V62" s="14">
        <f t="shared" si="53"/>
        <v>22.117819029442927</v>
      </c>
      <c r="W62" s="13">
        <f t="shared" ref="W62:W69" si="72">W$49*$B35+(1-W$49)*W61</f>
        <v>177.11978094589398</v>
      </c>
      <c r="X62" s="14">
        <f t="shared" si="54"/>
        <v>21.880219054106021</v>
      </c>
      <c r="Y62" s="13">
        <f t="shared" ref="Y62:Y69" si="73">Y$49*$B35+(1-Y$49)*Y61</f>
        <v>177.35276638396633</v>
      </c>
      <c r="Z62" s="14">
        <f t="shared" si="55"/>
        <v>21.647233616033674</v>
      </c>
      <c r="AA62" s="13">
        <f t="shared" ref="AA62:AA69" si="74">AA$49*$B35+(1-AA$49)*AA61</f>
        <v>177.58118933365296</v>
      </c>
      <c r="AB62" s="14">
        <f t="shared" si="56"/>
        <v>21.418810666347042</v>
      </c>
      <c r="AC62" s="13">
        <f t="shared" ref="AC62:AC69" si="75">AC$49*$B35+(1-AC$49)*AC61</f>
        <v>177.80511394856558</v>
      </c>
      <c r="AD62" s="14">
        <f t="shared" si="57"/>
        <v>21.194886051434423</v>
      </c>
      <c r="AE62" s="13">
        <f t="shared" ref="AE62:AE69" si="76">AE$49*$B35+(1-AE$49)*AE61</f>
        <v>178.02461582640998</v>
      </c>
      <c r="AF62" s="14">
        <f t="shared" si="58"/>
        <v>20.975384173590015</v>
      </c>
      <c r="AG62" s="13">
        <f t="shared" ref="AG62:AG69" si="77">AG$49*$B35+(1-AG$49)*AG61</f>
        <v>178.23978137229079</v>
      </c>
      <c r="AH62" s="14">
        <f t="shared" si="59"/>
        <v>20.760218627709207</v>
      </c>
      <c r="AI62" s="13">
        <f t="shared" ref="AI62:AI69" si="78">AI$49*$B35+(1-AI$49)*AI61</f>
        <v>179.05915305405713</v>
      </c>
      <c r="AJ62" s="14">
        <f t="shared" si="60"/>
        <v>19.940846945942866</v>
      </c>
      <c r="AK62" s="13">
        <f t="shared" ref="AK62:AK69" si="79">AK$49*$B35+(1-AK$49)*AK61</f>
        <v>179.6337797718524</v>
      </c>
      <c r="AL62" s="14">
        <f t="shared" si="61"/>
        <v>19.366220228147597</v>
      </c>
      <c r="AM62" s="13">
        <f t="shared" ref="AM62:AM69" si="80">AM$49*$B35+(1-AM$49)*AM61</f>
        <v>179.81847223283509</v>
      </c>
      <c r="AN62" s="14">
        <f t="shared" si="62"/>
        <v>19.181527767164908</v>
      </c>
    </row>
    <row r="63" spans="1:40" x14ac:dyDescent="0.25">
      <c r="A63" s="5">
        <v>14</v>
      </c>
      <c r="B63" s="8">
        <v>220</v>
      </c>
      <c r="C63" s="13">
        <f t="shared" si="46"/>
        <v>170.14186676633602</v>
      </c>
      <c r="D63" s="14">
        <f t="shared" si="8"/>
        <v>49.858133233663978</v>
      </c>
      <c r="E63" s="13">
        <f t="shared" si="63"/>
        <v>182.781494140625</v>
      </c>
      <c r="F63" s="14">
        <f t="shared" si="9"/>
        <v>37.218505859375</v>
      </c>
      <c r="G63" s="13">
        <f t="shared" si="64"/>
        <v>194.32481530265602</v>
      </c>
      <c r="H63" s="14">
        <f t="shared" si="10"/>
        <v>25.67518469734398</v>
      </c>
      <c r="I63" s="13">
        <f t="shared" si="65"/>
        <v>192.81275302171707</v>
      </c>
      <c r="J63" s="14">
        <f t="shared" si="47"/>
        <v>27.187246978282928</v>
      </c>
      <c r="K63" s="13">
        <f t="shared" si="66"/>
        <v>194.03527719361298</v>
      </c>
      <c r="L63" s="14">
        <f t="shared" si="48"/>
        <v>25.964722806387016</v>
      </c>
      <c r="M63" s="13">
        <f t="shared" si="67"/>
        <v>194.60816087675028</v>
      </c>
      <c r="N63" s="14">
        <f t="shared" si="49"/>
        <v>25.391839123249724</v>
      </c>
      <c r="O63" s="13">
        <f t="shared" si="68"/>
        <v>194.88544649279606</v>
      </c>
      <c r="P63" s="14">
        <f t="shared" si="50"/>
        <v>25.114553507203937</v>
      </c>
      <c r="Q63" s="13">
        <f t="shared" si="69"/>
        <v>195.15680895593772</v>
      </c>
      <c r="R63" s="14">
        <f t="shared" si="51"/>
        <v>24.84319104406228</v>
      </c>
      <c r="S63" s="13">
        <f t="shared" si="70"/>
        <v>195.42238835156309</v>
      </c>
      <c r="T63" s="14">
        <f t="shared" si="52"/>
        <v>24.577611648436914</v>
      </c>
      <c r="U63" s="13">
        <f t="shared" si="71"/>
        <v>195.68232714558357</v>
      </c>
      <c r="V63" s="14">
        <f t="shared" si="53"/>
        <v>24.317672854416429</v>
      </c>
      <c r="W63" s="13">
        <f t="shared" si="72"/>
        <v>195.93676933242514</v>
      </c>
      <c r="X63" s="14">
        <f t="shared" si="54"/>
        <v>24.063230667574857</v>
      </c>
      <c r="Y63" s="13">
        <f t="shared" si="73"/>
        <v>196.18585962991563</v>
      </c>
      <c r="Z63" s="14">
        <f t="shared" si="55"/>
        <v>23.814140370084374</v>
      </c>
      <c r="AA63" s="13">
        <f t="shared" si="74"/>
        <v>196.42974272003835</v>
      </c>
      <c r="AB63" s="14">
        <f t="shared" si="56"/>
        <v>23.570257279961652</v>
      </c>
      <c r="AC63" s="13">
        <f t="shared" si="75"/>
        <v>196.66856253434221</v>
      </c>
      <c r="AD63" s="14">
        <f t="shared" si="57"/>
        <v>23.331437465657785</v>
      </c>
      <c r="AE63" s="13">
        <f t="shared" si="76"/>
        <v>196.902461582641</v>
      </c>
      <c r="AF63" s="14">
        <f t="shared" si="58"/>
        <v>23.097538417359004</v>
      </c>
      <c r="AG63" s="13">
        <f t="shared" si="77"/>
        <v>197.13158032350617</v>
      </c>
      <c r="AH63" s="14">
        <f t="shared" si="59"/>
        <v>22.868419676493829</v>
      </c>
      <c r="AI63" s="13">
        <f t="shared" si="78"/>
        <v>198.00295765270283</v>
      </c>
      <c r="AJ63" s="14">
        <f t="shared" si="60"/>
        <v>21.997042347297167</v>
      </c>
      <c r="AK63" s="13">
        <f t="shared" si="79"/>
        <v>198.61267559543705</v>
      </c>
      <c r="AL63" s="14">
        <f t="shared" si="61"/>
        <v>21.387324404562946</v>
      </c>
      <c r="AM63" s="13">
        <f t="shared" si="80"/>
        <v>198.80818472232835</v>
      </c>
      <c r="AN63" s="14">
        <f t="shared" si="62"/>
        <v>21.191815277671651</v>
      </c>
    </row>
    <row r="64" spans="1:40" x14ac:dyDescent="0.25">
      <c r="A64" s="5">
        <v>15</v>
      </c>
      <c r="B64" s="8">
        <v>208</v>
      </c>
      <c r="C64" s="13">
        <f t="shared" si="46"/>
        <v>180.11349341306882</v>
      </c>
      <c r="D64" s="14">
        <f t="shared" si="8"/>
        <v>27.886506586931176</v>
      </c>
      <c r="E64" s="13">
        <f t="shared" si="63"/>
        <v>201.3907470703125</v>
      </c>
      <c r="F64" s="14">
        <f t="shared" si="9"/>
        <v>6.6092529296875</v>
      </c>
      <c r="G64" s="13">
        <f t="shared" si="64"/>
        <v>214.86496306053118</v>
      </c>
      <c r="H64" s="14">
        <f t="shared" si="10"/>
        <v>6.8649630605311813</v>
      </c>
      <c r="I64" s="13">
        <f t="shared" si="65"/>
        <v>213.20318825542927</v>
      </c>
      <c r="J64" s="14">
        <f t="shared" si="47"/>
        <v>5.2031882554292679</v>
      </c>
      <c r="K64" s="13">
        <f t="shared" si="66"/>
        <v>214.54740821065872</v>
      </c>
      <c r="L64" s="14">
        <f t="shared" si="48"/>
        <v>6.5474082106587161</v>
      </c>
      <c r="M64" s="13">
        <f t="shared" si="67"/>
        <v>215.17555056658256</v>
      </c>
      <c r="N64" s="14">
        <f t="shared" si="49"/>
        <v>7.1755505665825581</v>
      </c>
      <c r="O64" s="13">
        <f t="shared" si="68"/>
        <v>215.47938036870329</v>
      </c>
      <c r="P64" s="14">
        <f t="shared" si="50"/>
        <v>7.4793803687032892</v>
      </c>
      <c r="Q64" s="13">
        <f t="shared" si="69"/>
        <v>215.77665752250942</v>
      </c>
      <c r="R64" s="14">
        <f t="shared" si="51"/>
        <v>7.7766575225094243</v>
      </c>
      <c r="S64" s="13">
        <f t="shared" si="70"/>
        <v>216.06758213625008</v>
      </c>
      <c r="T64" s="14">
        <f t="shared" si="52"/>
        <v>8.0675821362500812</v>
      </c>
      <c r="U64" s="13">
        <f t="shared" si="71"/>
        <v>216.35234907183755</v>
      </c>
      <c r="V64" s="14">
        <f t="shared" si="53"/>
        <v>8.3523490718375513</v>
      </c>
      <c r="W64" s="13">
        <f t="shared" si="72"/>
        <v>216.63114770653951</v>
      </c>
      <c r="X64" s="14">
        <f t="shared" si="54"/>
        <v>8.6311477065395081</v>
      </c>
      <c r="Y64" s="13">
        <f t="shared" si="73"/>
        <v>216.90416175188903</v>
      </c>
      <c r="Z64" s="14">
        <f t="shared" si="55"/>
        <v>8.9041617518890348</v>
      </c>
      <c r="AA64" s="13">
        <f t="shared" si="74"/>
        <v>217.17156912640459</v>
      </c>
      <c r="AB64" s="14">
        <f t="shared" si="56"/>
        <v>9.1715691264045915</v>
      </c>
      <c r="AC64" s="13">
        <f t="shared" si="75"/>
        <v>217.43354187877765</v>
      </c>
      <c r="AD64" s="14">
        <f t="shared" si="57"/>
        <v>9.4335418787776462</v>
      </c>
      <c r="AE64" s="13">
        <f t="shared" si="76"/>
        <v>217.6902461582641</v>
      </c>
      <c r="AF64" s="14">
        <f t="shared" si="58"/>
        <v>9.6902461582641024</v>
      </c>
      <c r="AG64" s="13">
        <f t="shared" si="77"/>
        <v>217.94184222911557</v>
      </c>
      <c r="AH64" s="14">
        <f t="shared" si="59"/>
        <v>9.941842229115565</v>
      </c>
      <c r="AI64" s="13">
        <f t="shared" si="78"/>
        <v>218.90014788263514</v>
      </c>
      <c r="AJ64" s="14">
        <f t="shared" si="60"/>
        <v>10.900147882635139</v>
      </c>
      <c r="AK64" s="13">
        <f t="shared" si="79"/>
        <v>219.57225351190874</v>
      </c>
      <c r="AL64" s="14">
        <f t="shared" si="61"/>
        <v>11.572253511908741</v>
      </c>
      <c r="AM64" s="13">
        <f t="shared" si="80"/>
        <v>219.78808184722331</v>
      </c>
      <c r="AN64" s="14">
        <f t="shared" si="62"/>
        <v>11.78808184722331</v>
      </c>
    </row>
    <row r="65" spans="1:41" x14ac:dyDescent="0.25">
      <c r="A65" s="5">
        <v>16</v>
      </c>
      <c r="B65" s="8">
        <v>175</v>
      </c>
      <c r="C65" s="13">
        <f t="shared" si="46"/>
        <v>185.69079473045505</v>
      </c>
      <c r="D65" s="14">
        <f t="shared" si="8"/>
        <v>10.690794730455053</v>
      </c>
      <c r="E65" s="13">
        <f t="shared" si="63"/>
        <v>204.69537353515625</v>
      </c>
      <c r="F65" s="14">
        <f t="shared" si="9"/>
        <v>29.69537353515625</v>
      </c>
      <c r="G65" s="13">
        <f t="shared" si="64"/>
        <v>209.37299261210623</v>
      </c>
      <c r="H65" s="14">
        <f t="shared" si="10"/>
        <v>34.372992612106231</v>
      </c>
      <c r="I65" s="13">
        <f t="shared" si="65"/>
        <v>209.30079706385732</v>
      </c>
      <c r="J65" s="14">
        <f t="shared" si="47"/>
        <v>34.300797063857317</v>
      </c>
      <c r="K65" s="13">
        <f t="shared" si="66"/>
        <v>209.3749557242383</v>
      </c>
      <c r="L65" s="14">
        <f t="shared" si="48"/>
        <v>34.374955724238305</v>
      </c>
      <c r="M65" s="13">
        <f t="shared" si="67"/>
        <v>209.36335460765071</v>
      </c>
      <c r="N65" s="14">
        <f t="shared" si="49"/>
        <v>34.363354607650706</v>
      </c>
      <c r="O65" s="13">
        <f t="shared" si="68"/>
        <v>209.34628846636662</v>
      </c>
      <c r="P65" s="14">
        <f t="shared" si="50"/>
        <v>34.346288466366616</v>
      </c>
      <c r="Q65" s="13">
        <f t="shared" si="69"/>
        <v>209.32203177882661</v>
      </c>
      <c r="R65" s="14">
        <f t="shared" si="51"/>
        <v>34.322031778826613</v>
      </c>
      <c r="S65" s="13">
        <f t="shared" si="70"/>
        <v>209.29081314180002</v>
      </c>
      <c r="T65" s="14">
        <f t="shared" si="52"/>
        <v>34.290813141800015</v>
      </c>
      <c r="U65" s="13">
        <f t="shared" si="71"/>
        <v>209.25285236077562</v>
      </c>
      <c r="V65" s="14">
        <f t="shared" si="53"/>
        <v>34.25285236077562</v>
      </c>
      <c r="W65" s="13">
        <f t="shared" si="72"/>
        <v>209.20836067891554</v>
      </c>
      <c r="X65" s="14">
        <f t="shared" si="54"/>
        <v>34.20836067891554</v>
      </c>
      <c r="Y65" s="13">
        <f t="shared" si="73"/>
        <v>209.15754102774559</v>
      </c>
      <c r="Z65" s="14">
        <f t="shared" si="55"/>
        <v>34.157541027745594</v>
      </c>
      <c r="AA65" s="13">
        <f t="shared" si="74"/>
        <v>209.10058829516854</v>
      </c>
      <c r="AB65" s="14">
        <f t="shared" si="56"/>
        <v>34.100588295168535</v>
      </c>
      <c r="AC65" s="13">
        <f t="shared" si="75"/>
        <v>209.03768960666554</v>
      </c>
      <c r="AD65" s="14">
        <f t="shared" si="57"/>
        <v>34.037689606665538</v>
      </c>
      <c r="AE65" s="13">
        <f t="shared" si="76"/>
        <v>208.96902461582641</v>
      </c>
      <c r="AF65" s="14">
        <f t="shared" si="58"/>
        <v>33.969024615826413</v>
      </c>
      <c r="AG65" s="13">
        <f t="shared" si="77"/>
        <v>208.89476580062041</v>
      </c>
      <c r="AH65" s="14">
        <f t="shared" si="59"/>
        <v>33.894765800620405</v>
      </c>
      <c r="AI65" s="13">
        <f t="shared" si="78"/>
        <v>208.54500739413177</v>
      </c>
      <c r="AJ65" s="14">
        <f t="shared" si="60"/>
        <v>33.545007394131773</v>
      </c>
      <c r="AK65" s="13">
        <f t="shared" si="79"/>
        <v>208.23144507023818</v>
      </c>
      <c r="AL65" s="14">
        <f t="shared" si="61"/>
        <v>33.231445070238181</v>
      </c>
      <c r="AM65" s="13">
        <f t="shared" si="80"/>
        <v>208.11788081847223</v>
      </c>
      <c r="AN65" s="14">
        <f t="shared" si="62"/>
        <v>33.11788081847223</v>
      </c>
    </row>
    <row r="66" spans="1:41" x14ac:dyDescent="0.25">
      <c r="A66" s="5">
        <v>17</v>
      </c>
      <c r="B66" s="8">
        <v>140</v>
      </c>
      <c r="C66" s="13">
        <f t="shared" si="46"/>
        <v>183.55263578436404</v>
      </c>
      <c r="D66" s="14">
        <f t="shared" si="8"/>
        <v>43.552635784364043</v>
      </c>
      <c r="E66" s="13">
        <f t="shared" si="63"/>
        <v>189.84768676757813</v>
      </c>
      <c r="F66" s="14">
        <f t="shared" si="9"/>
        <v>49.847686767578125</v>
      </c>
      <c r="G66" s="13">
        <f t="shared" si="64"/>
        <v>181.87459852242125</v>
      </c>
      <c r="H66" s="14">
        <f t="shared" si="10"/>
        <v>41.874598522421252</v>
      </c>
      <c r="I66" s="13">
        <f t="shared" si="65"/>
        <v>183.57519926596433</v>
      </c>
      <c r="J66" s="14">
        <f t="shared" si="47"/>
        <v>43.575199265964329</v>
      </c>
      <c r="K66" s="13">
        <f t="shared" si="66"/>
        <v>182.21874070209003</v>
      </c>
      <c r="L66" s="14">
        <f t="shared" si="48"/>
        <v>42.218740702090031</v>
      </c>
      <c r="M66" s="13">
        <f t="shared" si="67"/>
        <v>181.52903737545364</v>
      </c>
      <c r="N66" s="14">
        <f t="shared" si="49"/>
        <v>41.52903737545364</v>
      </c>
      <c r="O66" s="13">
        <f t="shared" si="68"/>
        <v>181.18233192394601</v>
      </c>
      <c r="P66" s="14">
        <f t="shared" si="50"/>
        <v>41.182331923946009</v>
      </c>
      <c r="Q66" s="13">
        <f t="shared" si="69"/>
        <v>180.83474540240053</v>
      </c>
      <c r="R66" s="14">
        <f t="shared" si="51"/>
        <v>40.834745402400529</v>
      </c>
      <c r="S66" s="13">
        <f t="shared" si="70"/>
        <v>180.48653010268799</v>
      </c>
      <c r="T66" s="14">
        <f t="shared" si="52"/>
        <v>40.486530102687993</v>
      </c>
      <c r="U66" s="13">
        <f t="shared" si="71"/>
        <v>180.13792785411636</v>
      </c>
      <c r="V66" s="14">
        <f t="shared" si="53"/>
        <v>40.137927854116356</v>
      </c>
      <c r="W66" s="13">
        <f t="shared" si="72"/>
        <v>179.78917049504818</v>
      </c>
      <c r="X66" s="14">
        <f t="shared" si="54"/>
        <v>39.789170495048182</v>
      </c>
      <c r="Y66" s="13">
        <f t="shared" si="73"/>
        <v>179.44048033360693</v>
      </c>
      <c r="Z66" s="14">
        <f t="shared" si="55"/>
        <v>39.440480333606928</v>
      </c>
      <c r="AA66" s="13">
        <f t="shared" si="74"/>
        <v>179.09207059542024</v>
      </c>
      <c r="AB66" s="14">
        <f t="shared" si="56"/>
        <v>39.092070595420239</v>
      </c>
      <c r="AC66" s="13">
        <f t="shared" si="75"/>
        <v>178.74414585673321</v>
      </c>
      <c r="AD66" s="14">
        <f t="shared" si="57"/>
        <v>38.744145856733212</v>
      </c>
      <c r="AE66" s="13">
        <f t="shared" si="76"/>
        <v>178.39690246158264</v>
      </c>
      <c r="AF66" s="14">
        <f t="shared" si="58"/>
        <v>38.396902461582641</v>
      </c>
      <c r="AG66" s="13">
        <f t="shared" si="77"/>
        <v>178.05052892205583</v>
      </c>
      <c r="AH66" s="14">
        <f t="shared" si="59"/>
        <v>38.050528922055832</v>
      </c>
      <c r="AI66" s="13">
        <f t="shared" si="78"/>
        <v>176.6772503697066</v>
      </c>
      <c r="AJ66" s="14">
        <f t="shared" si="60"/>
        <v>36.677250369706599</v>
      </c>
      <c r="AK66" s="13">
        <f t="shared" si="79"/>
        <v>175.66462890140477</v>
      </c>
      <c r="AL66" s="14">
        <f t="shared" si="61"/>
        <v>35.664628901404768</v>
      </c>
      <c r="AM66" s="13">
        <f t="shared" si="80"/>
        <v>175.33117880818472</v>
      </c>
      <c r="AN66" s="14">
        <f t="shared" si="62"/>
        <v>35.331178808184717</v>
      </c>
    </row>
    <row r="67" spans="1:41" x14ac:dyDescent="0.25">
      <c r="A67" s="5">
        <v>18</v>
      </c>
      <c r="B67" s="8">
        <v>121</v>
      </c>
      <c r="C67" s="13">
        <f t="shared" si="46"/>
        <v>174.84210862749123</v>
      </c>
      <c r="D67" s="14">
        <f t="shared" si="8"/>
        <v>53.842108627491228</v>
      </c>
      <c r="E67" s="13">
        <f t="shared" si="63"/>
        <v>164.92384338378906</v>
      </c>
      <c r="F67" s="14">
        <f t="shared" si="9"/>
        <v>43.923843383789063</v>
      </c>
      <c r="G67" s="13">
        <f t="shared" si="64"/>
        <v>148.37491970448423</v>
      </c>
      <c r="H67" s="14">
        <f t="shared" si="10"/>
        <v>27.374919704484228</v>
      </c>
      <c r="I67" s="13">
        <f t="shared" si="65"/>
        <v>150.89379981649108</v>
      </c>
      <c r="J67" s="14">
        <f t="shared" si="47"/>
        <v>29.893799816491082</v>
      </c>
      <c r="K67" s="13">
        <f t="shared" si="66"/>
        <v>148.86593554743891</v>
      </c>
      <c r="L67" s="14">
        <f t="shared" si="48"/>
        <v>27.865935547438909</v>
      </c>
      <c r="M67" s="13">
        <f t="shared" si="67"/>
        <v>147.89051710133617</v>
      </c>
      <c r="N67" s="14">
        <f t="shared" si="49"/>
        <v>26.890517101336172</v>
      </c>
      <c r="O67" s="13">
        <f t="shared" si="68"/>
        <v>147.41281974631028</v>
      </c>
      <c r="P67" s="14">
        <f t="shared" si="50"/>
        <v>26.412819746310277</v>
      </c>
      <c r="Q67" s="13">
        <f t="shared" si="69"/>
        <v>146.94190671840809</v>
      </c>
      <c r="R67" s="14">
        <f t="shared" si="51"/>
        <v>25.941906718408092</v>
      </c>
      <c r="S67" s="13">
        <f t="shared" si="70"/>
        <v>146.47784481643009</v>
      </c>
      <c r="T67" s="14">
        <f t="shared" si="52"/>
        <v>25.477844816430093</v>
      </c>
      <c r="U67" s="13">
        <f t="shared" si="71"/>
        <v>146.02068917811746</v>
      </c>
      <c r="V67" s="14">
        <f t="shared" si="53"/>
        <v>25.020689178117465</v>
      </c>
      <c r="W67" s="13">
        <f t="shared" si="72"/>
        <v>145.57048386930674</v>
      </c>
      <c r="X67" s="14">
        <f t="shared" si="54"/>
        <v>24.570483869306742</v>
      </c>
      <c r="Y67" s="13">
        <f t="shared" si="73"/>
        <v>145.12726244336889</v>
      </c>
      <c r="Z67" s="14">
        <f t="shared" si="55"/>
        <v>24.127262443368892</v>
      </c>
      <c r="AA67" s="13">
        <f t="shared" si="74"/>
        <v>144.69104847145042</v>
      </c>
      <c r="AB67" s="14">
        <f t="shared" si="56"/>
        <v>23.691048471450415</v>
      </c>
      <c r="AC67" s="13">
        <f t="shared" si="75"/>
        <v>144.26185604424066</v>
      </c>
      <c r="AD67" s="14">
        <f t="shared" si="57"/>
        <v>23.261856044240659</v>
      </c>
      <c r="AE67" s="13">
        <f t="shared" si="76"/>
        <v>143.83969024615826</v>
      </c>
      <c r="AF67" s="14">
        <f t="shared" si="58"/>
        <v>22.839690246158256</v>
      </c>
      <c r="AG67" s="13">
        <f t="shared" si="77"/>
        <v>143.42454760298503</v>
      </c>
      <c r="AH67" s="14">
        <f t="shared" si="59"/>
        <v>22.424547602985029</v>
      </c>
      <c r="AI67" s="13">
        <f t="shared" si="78"/>
        <v>141.83386251848535</v>
      </c>
      <c r="AJ67" s="14">
        <f t="shared" si="60"/>
        <v>20.833862518485347</v>
      </c>
      <c r="AK67" s="13">
        <f t="shared" si="79"/>
        <v>140.71329257802807</v>
      </c>
      <c r="AL67" s="14">
        <f t="shared" si="61"/>
        <v>19.713292578028074</v>
      </c>
      <c r="AM67" s="13">
        <f t="shared" si="80"/>
        <v>140.35331178808184</v>
      </c>
      <c r="AN67" s="14">
        <f t="shared" si="62"/>
        <v>19.353311788081839</v>
      </c>
    </row>
    <row r="68" spans="1:41" x14ac:dyDescent="0.25">
      <c r="A68" s="5">
        <v>19</v>
      </c>
      <c r="B68" s="8">
        <v>146</v>
      </c>
      <c r="C68" s="13">
        <f t="shared" si="46"/>
        <v>164.07368690199297</v>
      </c>
      <c r="D68" s="14">
        <f t="shared" si="8"/>
        <v>18.073686901992971</v>
      </c>
      <c r="E68" s="13">
        <f t="shared" si="63"/>
        <v>142.96192169189453</v>
      </c>
      <c r="F68" s="14">
        <f t="shared" si="9"/>
        <v>3.0380783081054688</v>
      </c>
      <c r="G68" s="13">
        <f t="shared" si="64"/>
        <v>126.47498394089685</v>
      </c>
      <c r="H68" s="14">
        <f t="shared" si="10"/>
        <v>19.525016059103152</v>
      </c>
      <c r="I68" s="13">
        <f t="shared" si="65"/>
        <v>128.47344995412277</v>
      </c>
      <c r="J68" s="14">
        <f t="shared" si="47"/>
        <v>17.526550045877229</v>
      </c>
      <c r="K68" s="13">
        <f t="shared" si="66"/>
        <v>126.85184646496216</v>
      </c>
      <c r="L68" s="14">
        <f t="shared" si="48"/>
        <v>19.148153535037835</v>
      </c>
      <c r="M68" s="13">
        <f t="shared" si="67"/>
        <v>126.10919824925386</v>
      </c>
      <c r="N68" s="14">
        <f t="shared" si="49"/>
        <v>19.890801750746135</v>
      </c>
      <c r="O68" s="13">
        <f t="shared" si="68"/>
        <v>125.75430755433585</v>
      </c>
      <c r="P68" s="14">
        <f t="shared" si="50"/>
        <v>20.245692445664147</v>
      </c>
      <c r="Q68" s="13">
        <f t="shared" si="69"/>
        <v>125.41012414212938</v>
      </c>
      <c r="R68" s="14">
        <f t="shared" si="51"/>
        <v>20.589875857870624</v>
      </c>
      <c r="S68" s="13">
        <f t="shared" si="70"/>
        <v>125.07645517062882</v>
      </c>
      <c r="T68" s="14">
        <f t="shared" si="52"/>
        <v>20.923544829371181</v>
      </c>
      <c r="U68" s="13">
        <f t="shared" si="71"/>
        <v>124.75310337671762</v>
      </c>
      <c r="V68" s="14">
        <f t="shared" si="53"/>
        <v>21.246896623282382</v>
      </c>
      <c r="W68" s="13">
        <f t="shared" si="72"/>
        <v>124.43986774170295</v>
      </c>
      <c r="X68" s="14">
        <f t="shared" si="54"/>
        <v>21.560132258297045</v>
      </c>
      <c r="Y68" s="13">
        <f t="shared" si="73"/>
        <v>124.13654411763795</v>
      </c>
      <c r="Z68" s="14">
        <f t="shared" si="55"/>
        <v>21.863455882362047</v>
      </c>
      <c r="AA68" s="13">
        <f t="shared" si="74"/>
        <v>123.84292581657405</v>
      </c>
      <c r="AB68" s="14">
        <f t="shared" si="56"/>
        <v>22.157074183425948</v>
      </c>
      <c r="AC68" s="13">
        <f t="shared" si="75"/>
        <v>123.55880416486647</v>
      </c>
      <c r="AD68" s="14">
        <f t="shared" si="57"/>
        <v>22.441195835133527</v>
      </c>
      <c r="AE68" s="13">
        <f t="shared" si="76"/>
        <v>123.28396902461583</v>
      </c>
      <c r="AF68" s="14">
        <f t="shared" si="58"/>
        <v>22.716030975384172</v>
      </c>
      <c r="AG68" s="13">
        <f t="shared" si="77"/>
        <v>123.01820928426865</v>
      </c>
      <c r="AH68" s="14">
        <f t="shared" si="59"/>
        <v>22.98179071573135</v>
      </c>
      <c r="AI68" s="13">
        <f t="shared" si="78"/>
        <v>122.04169312592427</v>
      </c>
      <c r="AJ68" s="14">
        <f t="shared" si="60"/>
        <v>23.958306874075731</v>
      </c>
      <c r="AK68" s="13">
        <f t="shared" si="79"/>
        <v>121.39426585156056</v>
      </c>
      <c r="AL68" s="14">
        <f t="shared" si="61"/>
        <v>24.605734148439439</v>
      </c>
      <c r="AM68" s="13">
        <f t="shared" si="80"/>
        <v>121.19353311788082</v>
      </c>
      <c r="AN68" s="14">
        <f t="shared" si="62"/>
        <v>24.806466882119182</v>
      </c>
    </row>
    <row r="69" spans="1:41" ht="15.75" thickBot="1" x14ac:dyDescent="0.3">
      <c r="A69" s="6">
        <v>20</v>
      </c>
      <c r="B69" s="8">
        <v>160</v>
      </c>
      <c r="C69" s="13">
        <f t="shared" si="46"/>
        <v>160.45894952159438</v>
      </c>
      <c r="D69" s="14">
        <f t="shared" si="8"/>
        <v>0.45894952159437707</v>
      </c>
      <c r="E69" s="13">
        <f t="shared" si="63"/>
        <v>144.48096084594727</v>
      </c>
      <c r="F69" s="14">
        <f t="shared" si="9"/>
        <v>15.519039154052734</v>
      </c>
      <c r="G69" s="13">
        <f t="shared" si="64"/>
        <v>142.09499678817937</v>
      </c>
      <c r="H69" s="14">
        <f t="shared" si="10"/>
        <v>17.905003211820627</v>
      </c>
      <c r="I69" s="13">
        <f t="shared" si="65"/>
        <v>141.61836248853069</v>
      </c>
      <c r="J69" s="14">
        <f t="shared" si="47"/>
        <v>18.381637511469307</v>
      </c>
      <c r="K69" s="13">
        <f t="shared" si="66"/>
        <v>141.97888775764204</v>
      </c>
      <c r="L69" s="14">
        <f t="shared" si="48"/>
        <v>18.021112242357958</v>
      </c>
      <c r="M69" s="13">
        <f t="shared" si="67"/>
        <v>142.22074766735824</v>
      </c>
      <c r="N69" s="14">
        <f t="shared" si="49"/>
        <v>17.779252332641761</v>
      </c>
      <c r="O69" s="13">
        <f t="shared" si="68"/>
        <v>142.35577535978047</v>
      </c>
      <c r="P69" s="14">
        <f t="shared" si="50"/>
        <v>17.644224640219534</v>
      </c>
      <c r="Q69" s="13">
        <f t="shared" si="69"/>
        <v>142.49972110416201</v>
      </c>
      <c r="R69" s="14">
        <f t="shared" si="51"/>
        <v>17.500278895837994</v>
      </c>
      <c r="S69" s="13">
        <f t="shared" si="70"/>
        <v>142.65223282730062</v>
      </c>
      <c r="T69" s="14">
        <f t="shared" si="52"/>
        <v>17.347767172699378</v>
      </c>
      <c r="U69" s="13">
        <f t="shared" si="71"/>
        <v>142.81296550650765</v>
      </c>
      <c r="V69" s="14">
        <f t="shared" si="53"/>
        <v>17.187034493492348</v>
      </c>
      <c r="W69" s="13">
        <f t="shared" si="72"/>
        <v>142.98158148383843</v>
      </c>
      <c r="X69" s="14">
        <f t="shared" si="54"/>
        <v>17.018418516161574</v>
      </c>
      <c r="Y69" s="13">
        <f t="shared" si="73"/>
        <v>143.15775073529292</v>
      </c>
      <c r="Z69" s="14">
        <f t="shared" si="55"/>
        <v>16.842249264707078</v>
      </c>
      <c r="AA69" s="13">
        <f t="shared" si="74"/>
        <v>143.34115109798887</v>
      </c>
      <c r="AB69" s="14">
        <f t="shared" si="56"/>
        <v>16.65884890201113</v>
      </c>
      <c r="AC69" s="13">
        <f t="shared" si="75"/>
        <v>143.53146845813529</v>
      </c>
      <c r="AD69" s="14">
        <f t="shared" si="57"/>
        <v>16.468531541864706</v>
      </c>
      <c r="AE69" s="13">
        <f t="shared" si="76"/>
        <v>143.72839690246158</v>
      </c>
      <c r="AF69" s="14">
        <f t="shared" si="58"/>
        <v>16.271603097538417</v>
      </c>
      <c r="AG69" s="13">
        <f t="shared" si="77"/>
        <v>143.93163883558418</v>
      </c>
      <c r="AH69" s="14">
        <f t="shared" si="59"/>
        <v>16.068361164415819</v>
      </c>
      <c r="AI69" s="13">
        <f t="shared" si="78"/>
        <v>144.80208465629622</v>
      </c>
      <c r="AJ69" s="14">
        <f t="shared" si="60"/>
        <v>15.197915343703784</v>
      </c>
      <c r="AK69" s="13">
        <f t="shared" si="79"/>
        <v>145.5078853170312</v>
      </c>
      <c r="AL69" s="14">
        <f t="shared" si="61"/>
        <v>14.492114682968804</v>
      </c>
      <c r="AM69" s="13">
        <f t="shared" si="80"/>
        <v>145.7519353311788</v>
      </c>
      <c r="AN69" s="14">
        <f t="shared" si="62"/>
        <v>14.2480646688212</v>
      </c>
    </row>
    <row r="70" spans="1:41" ht="15.75" thickBot="1" x14ac:dyDescent="0.3">
      <c r="A70" s="306" t="s">
        <v>91</v>
      </c>
      <c r="B70" s="307"/>
      <c r="C70" s="304">
        <f>AVERAGE(D51:D59)</f>
        <v>31.959667484444456</v>
      </c>
      <c r="D70" s="305"/>
      <c r="E70" s="304">
        <f>AVERAGE(F51:F59)</f>
        <v>26.734809027777779</v>
      </c>
      <c r="F70" s="305"/>
      <c r="G70" s="304">
        <f>AVERAGE(H51:H59)</f>
        <v>23.546942293333334</v>
      </c>
      <c r="H70" s="305"/>
      <c r="I70" s="304">
        <f>AVERAGE(J51:J59)</f>
        <v>24.00751241048177</v>
      </c>
      <c r="J70" s="305"/>
      <c r="K70" s="304">
        <f>AVERAGE(L51:L59)</f>
        <v>23.641393353074974</v>
      </c>
      <c r="L70" s="305"/>
      <c r="M70" s="304">
        <f>AVERAGE(N51:N59)</f>
        <v>23.451516208276871</v>
      </c>
      <c r="N70" s="305"/>
      <c r="O70" s="304">
        <f>AVERAGE(P51:P59)</f>
        <v>23.355205902273283</v>
      </c>
      <c r="P70" s="305"/>
      <c r="Q70" s="304">
        <f>AVERAGE(R51:R59)</f>
        <v>23.258098888416274</v>
      </c>
      <c r="R70" s="305"/>
      <c r="S70" s="304">
        <f>AVERAGE(T51:T59)</f>
        <v>23.160279453921007</v>
      </c>
      <c r="T70" s="305"/>
      <c r="U70" s="304">
        <f>AVERAGE(V51:V59)</f>
        <v>23.061828725516495</v>
      </c>
      <c r="V70" s="305"/>
      <c r="W70" s="304">
        <f>AVERAGE(X51:X59)</f>
        <v>22.962824734714225</v>
      </c>
      <c r="X70" s="305"/>
      <c r="Y70" s="304">
        <f>AVERAGE(Z51:Z59)</f>
        <v>22.863342482840395</v>
      </c>
      <c r="Z70" s="305"/>
      <c r="AA70" s="304">
        <f>AVERAGE(AB51:AB59)</f>
        <v>22.763454005727866</v>
      </c>
      <c r="AB70" s="305"/>
      <c r="AC70" s="304">
        <f>AVERAGE(AD51:AD59)</f>
        <v>22.663228437972482</v>
      </c>
      <c r="AD70" s="305"/>
      <c r="AE70" s="304">
        <f>AVERAGE(AF51:AF59)</f>
        <v>22.562732076666659</v>
      </c>
      <c r="AF70" s="305"/>
      <c r="AG70" s="304">
        <f>AVERAGE(AH51:AH59)</f>
        <v>22.462028444532141</v>
      </c>
      <c r="AH70" s="305"/>
      <c r="AI70" s="304">
        <f>AVERAGE(AJ51:AJ59)</f>
        <v>22.058318036106776</v>
      </c>
      <c r="AJ70" s="305"/>
      <c r="AK70" s="304">
        <f>AVERAGE(AL51:AL59)</f>
        <v>21.756081230143341</v>
      </c>
      <c r="AL70" s="305"/>
      <c r="AM70" s="310">
        <f>AVERAGE(AN51:AN59)</f>
        <v>21.655693577332112</v>
      </c>
      <c r="AN70" s="311"/>
    </row>
    <row r="71" spans="1:41" ht="15.75" thickBot="1" x14ac:dyDescent="0.3">
      <c r="A71" s="306" t="s">
        <v>92</v>
      </c>
      <c r="B71" s="307"/>
      <c r="C71" s="304">
        <f>AVERAGE(D61:D69)</f>
        <v>29.086257234019197</v>
      </c>
      <c r="D71" s="305"/>
      <c r="E71" s="304">
        <f>AVERAGE(F61:F69)</f>
        <v>27.240312788221573</v>
      </c>
      <c r="F71" s="305"/>
      <c r="G71" s="304">
        <f>AVERAGE(H61:H69)</f>
        <v>24.316468754236737</v>
      </c>
      <c r="H71" s="305"/>
      <c r="I71" s="304">
        <f>AVERAGE(J61:J69)</f>
        <v>24.868150944781114</v>
      </c>
      <c r="J71" s="305"/>
      <c r="K71" s="304">
        <f>AVERAGE(L61:L69)</f>
        <v>24.431680434382237</v>
      </c>
      <c r="L71" s="305"/>
      <c r="M71" s="304">
        <f>AVERAGE(N61:N69)</f>
        <v>24.199209894825152</v>
      </c>
      <c r="N71" s="305"/>
      <c r="O71" s="304">
        <f>AVERAGE(P61:P69)</f>
        <v>24.080084259565353</v>
      </c>
      <c r="P71" s="305"/>
      <c r="Q71" s="304">
        <f>AVERAGE(R61:R69)</f>
        <v>23.95926406077832</v>
      </c>
      <c r="R71" s="305"/>
      <c r="S71" s="304">
        <f>AVERAGE(T61:T69)</f>
        <v>23.836913518608071</v>
      </c>
      <c r="T71" s="305"/>
      <c r="U71" s="304">
        <f>AVERAGE(V61:V69)</f>
        <v>23.713189073529701</v>
      </c>
      <c r="V71" s="305"/>
      <c r="W71" s="304">
        <f>AVERAGE(X61:X69)</f>
        <v>23.588239609951561</v>
      </c>
      <c r="X71" s="305"/>
      <c r="Y71" s="304">
        <f>AVERAGE(Z61:Z69)</f>
        <v>23.462206688638762</v>
      </c>
      <c r="Z71" s="305"/>
      <c r="AA71" s="304">
        <f>AVERAGE(AB61:AB69)</f>
        <v>23.335224785897967</v>
      </c>
      <c r="AB71" s="305"/>
      <c r="AC71" s="304">
        <f>AVERAGE(AD61:AD69)</f>
        <v>23.207421537666896</v>
      </c>
      <c r="AD71" s="305"/>
      <c r="AE71" s="304">
        <f>AVERAGE(AF61:AF69)</f>
        <v>23.078917986844782</v>
      </c>
      <c r="AF71" s="305"/>
      <c r="AG71" s="304">
        <f>AVERAGE(AH61:AH69)</f>
        <v>22.949828832383503</v>
      </c>
      <c r="AH71" s="305"/>
      <c r="AI71" s="304">
        <f>AVERAGE(AJ61:AJ69)</f>
        <v>22.429702066092858</v>
      </c>
      <c r="AJ71" s="305"/>
      <c r="AK71" s="304">
        <f>AVERAGE(AL61:AL69)</f>
        <v>22.038224992564256</v>
      </c>
      <c r="AL71" s="305"/>
      <c r="AM71" s="310">
        <f>AVERAGE(AN61:AN69)</f>
        <v>21.907900508247693</v>
      </c>
      <c r="AN71" s="311"/>
    </row>
    <row r="72" spans="1:41" ht="15.75" thickBot="1" x14ac:dyDescent="0.3">
      <c r="A72" s="320" t="s">
        <v>86</v>
      </c>
      <c r="B72" s="321"/>
      <c r="C72" s="318">
        <f>AVERAGE(D50:D69)</f>
        <v>29.136282312535418</v>
      </c>
      <c r="D72" s="319"/>
      <c r="E72" s="318">
        <f>AVERAGE(F50:F69)</f>
        <v>26.501270695736533</v>
      </c>
      <c r="F72" s="319"/>
      <c r="G72" s="318">
        <f>AVERAGE(H50:H69)</f>
        <v>23.693094031375303</v>
      </c>
      <c r="H72" s="319"/>
      <c r="I72" s="318">
        <f>AVERAGE(J50:J69)</f>
        <v>24.203409305656493</v>
      </c>
      <c r="J72" s="319"/>
      <c r="K72" s="318">
        <f>AVERAGE(L50:L69)</f>
        <v>23.799666021617526</v>
      </c>
      <c r="L72" s="319"/>
      <c r="M72" s="318">
        <f>AVERAGE(N50:N69)</f>
        <v>23.58458035405107</v>
      </c>
      <c r="N72" s="319"/>
      <c r="O72" s="318">
        <f>AVERAGE(P50:P69)</f>
        <v>23.474270966162422</v>
      </c>
      <c r="P72" s="319"/>
      <c r="Q72" s="318">
        <f>AVERAGE(R50:R69)</f>
        <v>23.362306036474973</v>
      </c>
      <c r="R72" s="319"/>
      <c r="S72" s="318">
        <f>AVERAGE(T50:T69)</f>
        <v>23.24882003207507</v>
      </c>
      <c r="T72" s="319"/>
      <c r="U72" s="318">
        <f>AVERAGE(V50:V69)</f>
        <v>23.133941833332841</v>
      </c>
      <c r="V72" s="319"/>
      <c r="W72" s="318">
        <f>AVERAGE(X50:X69)</f>
        <v>23.017794856350921</v>
      </c>
      <c r="X72" s="319"/>
      <c r="Y72" s="318">
        <f>AVERAGE(Z50:Z69)</f>
        <v>22.900497181612089</v>
      </c>
      <c r="Z72" s="319"/>
      <c r="AA72" s="318">
        <f>AVERAGE(AB50:AB69)</f>
        <v>22.782161687652657</v>
      </c>
      <c r="AB72" s="319"/>
      <c r="AC72" s="318">
        <f>AVERAGE(AD50:AD69)</f>
        <v>22.662896188697395</v>
      </c>
      <c r="AD72" s="319"/>
      <c r="AE72" s="318">
        <f>AVERAGE(AF50:AF69)</f>
        <v>22.542803575294897</v>
      </c>
      <c r="AF72" s="319"/>
      <c r="AG72" s="318">
        <f>AVERAGE(AH50:AH69)</f>
        <v>22.421981957091333</v>
      </c>
      <c r="AH72" s="319"/>
      <c r="AI72" s="318">
        <f>AVERAGE(AJ50:AJ69)</f>
        <v>21.933208384049642</v>
      </c>
      <c r="AJ72" s="319"/>
      <c r="AK72" s="318">
        <f>AVERAGE(AL50:AL69)</f>
        <v>21.563122440702998</v>
      </c>
      <c r="AL72" s="319"/>
      <c r="AM72" s="310">
        <f>AVERAGE(AN50:AN69)</f>
        <v>21.43947465364387</v>
      </c>
      <c r="AN72" s="311"/>
      <c r="AO72" s="28"/>
    </row>
    <row r="73" spans="1:41" x14ac:dyDescent="0.25">
      <c r="A73" s="28"/>
    </row>
  </sheetData>
  <mergeCells count="73">
    <mergeCell ref="A22:H22"/>
    <mergeCell ref="U71:V71"/>
    <mergeCell ref="W71:X71"/>
    <mergeCell ref="Y71:Z71"/>
    <mergeCell ref="I71:J71"/>
    <mergeCell ref="K71:L71"/>
    <mergeCell ref="M71:N71"/>
    <mergeCell ref="O71:P71"/>
    <mergeCell ref="Q71:R71"/>
    <mergeCell ref="S71:T71"/>
    <mergeCell ref="M70:N70"/>
    <mergeCell ref="A45:B45"/>
    <mergeCell ref="C45:D45"/>
    <mergeCell ref="E45:F45"/>
    <mergeCell ref="G45:H45"/>
    <mergeCell ref="A70:B70"/>
    <mergeCell ref="I70:J70"/>
    <mergeCell ref="K70:L70"/>
    <mergeCell ref="C71:D71"/>
    <mergeCell ref="A44:B44"/>
    <mergeCell ref="C44:D44"/>
    <mergeCell ref="E44:F44"/>
    <mergeCell ref="G44:H44"/>
    <mergeCell ref="C70:D70"/>
    <mergeCell ref="E70:F70"/>
    <mergeCell ref="G70:H70"/>
    <mergeCell ref="A71:B71"/>
    <mergeCell ref="E71:F71"/>
    <mergeCell ref="G71:H71"/>
    <mergeCell ref="A46:B46"/>
    <mergeCell ref="C46:D46"/>
    <mergeCell ref="E46:F46"/>
    <mergeCell ref="U70:V70"/>
    <mergeCell ref="W70:X70"/>
    <mergeCell ref="Y70:Z70"/>
    <mergeCell ref="O70:P70"/>
    <mergeCell ref="Q70:R70"/>
    <mergeCell ref="S70:T70"/>
    <mergeCell ref="AA70:AB70"/>
    <mergeCell ref="AC70:AD70"/>
    <mergeCell ref="AE70:AF70"/>
    <mergeCell ref="AG70:AH70"/>
    <mergeCell ref="AA71:AB71"/>
    <mergeCell ref="AC71:AD71"/>
    <mergeCell ref="AE71:AF71"/>
    <mergeCell ref="AG71:AH71"/>
    <mergeCell ref="AI70:AJ70"/>
    <mergeCell ref="AK70:AL70"/>
    <mergeCell ref="AM70:AN70"/>
    <mergeCell ref="AI71:AJ71"/>
    <mergeCell ref="AK71:AL71"/>
    <mergeCell ref="AM71:AN71"/>
    <mergeCell ref="G46:H46"/>
    <mergeCell ref="A72:B72"/>
    <mergeCell ref="C72:D72"/>
    <mergeCell ref="E72:F72"/>
    <mergeCell ref="G72:H72"/>
    <mergeCell ref="I72:J72"/>
    <mergeCell ref="K72:L72"/>
    <mergeCell ref="M72:N72"/>
    <mergeCell ref="O72:P72"/>
    <mergeCell ref="Q72:R72"/>
    <mergeCell ref="S72:T72"/>
    <mergeCell ref="U72:V72"/>
    <mergeCell ref="W72:X72"/>
    <mergeCell ref="Y72:Z72"/>
    <mergeCell ref="AA72:AB72"/>
    <mergeCell ref="AM72:AN72"/>
    <mergeCell ref="AC72:AD72"/>
    <mergeCell ref="AE72:AF72"/>
    <mergeCell ref="AG72:AH72"/>
    <mergeCell ref="AI72:AJ72"/>
    <mergeCell ref="AK72:AL72"/>
  </mergeCells>
  <pageMargins left="0.7" right="0.7" top="0.75" bottom="0.75" header="0.3" footer="0.3"/>
  <pageSetup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59564-C806-4197-A539-20D846AB78B3}">
  <sheetPr codeName="Sheet10"/>
  <dimension ref="A1:L132"/>
  <sheetViews>
    <sheetView zoomScale="85" zoomScaleNormal="85" workbookViewId="0">
      <selection activeCell="I127" sqref="I127"/>
    </sheetView>
  </sheetViews>
  <sheetFormatPr defaultColWidth="9.140625" defaultRowHeight="15" x14ac:dyDescent="0.25"/>
  <cols>
    <col min="1" max="1" width="18" style="1" bestFit="1" customWidth="1"/>
    <col min="2" max="2" width="12.7109375" style="1" bestFit="1" customWidth="1"/>
    <col min="3" max="4" width="10.140625" style="1" customWidth="1"/>
    <col min="5" max="5" width="10.42578125" style="1" bestFit="1" customWidth="1"/>
    <col min="6" max="6" width="18.42578125" style="1" bestFit="1" customWidth="1"/>
    <col min="7" max="7" width="12.140625" style="1" bestFit="1" customWidth="1"/>
    <col min="8" max="8" width="18.42578125" style="1" bestFit="1" customWidth="1"/>
    <col min="9" max="10" width="12.140625" style="1" customWidth="1"/>
    <col min="11" max="11" width="9.140625" style="1"/>
    <col min="12" max="12" width="18.42578125" style="1" bestFit="1" customWidth="1"/>
    <col min="13" max="13" width="9.140625" style="1"/>
    <col min="14" max="14" width="18.42578125" style="1" bestFit="1" customWidth="1"/>
    <col min="15" max="15" width="9.140625" style="1"/>
    <col min="16" max="16" width="18.42578125" style="1" bestFit="1" customWidth="1"/>
    <col min="17" max="17" width="9.140625" style="1"/>
    <col min="18" max="18" width="18.42578125" style="1" bestFit="1" customWidth="1"/>
    <col min="19" max="19" width="9.140625" style="1"/>
    <col min="20" max="20" width="18.42578125" style="1" bestFit="1" customWidth="1"/>
    <col min="21" max="21" width="9.140625" style="1"/>
    <col min="22" max="22" width="18.42578125" style="1" bestFit="1" customWidth="1"/>
    <col min="23" max="23" width="9.140625" style="1"/>
    <col min="24" max="24" width="18.42578125" style="1" bestFit="1" customWidth="1"/>
    <col min="25" max="25" width="9.140625" style="1"/>
    <col min="26" max="26" width="18.42578125" style="1" bestFit="1" customWidth="1"/>
    <col min="27" max="27" width="9.140625" style="1"/>
    <col min="28" max="28" width="18.42578125" style="1" bestFit="1" customWidth="1"/>
    <col min="29" max="29" width="9.140625" style="1"/>
    <col min="30" max="30" width="18.42578125" style="1" bestFit="1" customWidth="1"/>
    <col min="31" max="31" width="9.140625" style="1"/>
    <col min="32" max="32" width="18.42578125" style="1" bestFit="1" customWidth="1"/>
    <col min="33" max="16384" width="9.140625" style="1"/>
  </cols>
  <sheetData>
    <row r="1" spans="1:2" ht="15.75" thickBot="1" x14ac:dyDescent="0.3">
      <c r="A1" s="60" t="s">
        <v>0</v>
      </c>
      <c r="B1" s="60" t="s">
        <v>2</v>
      </c>
    </row>
    <row r="2" spans="1:2" x14ac:dyDescent="0.25">
      <c r="A2" s="5">
        <v>1</v>
      </c>
      <c r="B2" s="8">
        <v>145</v>
      </c>
    </row>
    <row r="3" spans="1:2" x14ac:dyDescent="0.25">
      <c r="A3" s="5">
        <v>2</v>
      </c>
      <c r="B3" s="8">
        <v>164</v>
      </c>
    </row>
    <row r="4" spans="1:2" x14ac:dyDescent="0.25">
      <c r="A4" s="5">
        <v>3</v>
      </c>
      <c r="B4" s="8">
        <v>178</v>
      </c>
    </row>
    <row r="5" spans="1:2" x14ac:dyDescent="0.25">
      <c r="A5" s="5">
        <v>4</v>
      </c>
      <c r="B5" s="8">
        <v>200</v>
      </c>
    </row>
    <row r="6" spans="1:2" x14ac:dyDescent="0.25">
      <c r="A6" s="5">
        <v>5</v>
      </c>
      <c r="B6" s="8">
        <v>215</v>
      </c>
    </row>
    <row r="7" spans="1:2" x14ac:dyDescent="0.25">
      <c r="A7" s="5">
        <v>6</v>
      </c>
      <c r="B7" s="8">
        <v>205</v>
      </c>
    </row>
    <row r="8" spans="1:2" x14ac:dyDescent="0.25">
      <c r="A8" s="5">
        <v>7</v>
      </c>
      <c r="B8" s="8">
        <v>170</v>
      </c>
    </row>
    <row r="9" spans="1:2" x14ac:dyDescent="0.25">
      <c r="A9" s="5">
        <v>8</v>
      </c>
      <c r="B9" s="8">
        <v>142</v>
      </c>
    </row>
    <row r="10" spans="1:2" x14ac:dyDescent="0.25">
      <c r="A10" s="5">
        <v>9</v>
      </c>
      <c r="B10" s="8">
        <v>119</v>
      </c>
    </row>
    <row r="11" spans="1:2" x14ac:dyDescent="0.25">
      <c r="A11" s="5">
        <v>10</v>
      </c>
      <c r="B11" s="8">
        <v>147</v>
      </c>
    </row>
    <row r="12" spans="1:2" x14ac:dyDescent="0.25">
      <c r="A12" s="5">
        <v>11</v>
      </c>
      <c r="B12" s="8">
        <v>162</v>
      </c>
    </row>
    <row r="13" spans="1:2" x14ac:dyDescent="0.25">
      <c r="A13" s="5">
        <v>12</v>
      </c>
      <c r="B13" s="8">
        <v>180</v>
      </c>
    </row>
    <row r="14" spans="1:2" x14ac:dyDescent="0.25">
      <c r="A14" s="5">
        <v>13</v>
      </c>
      <c r="B14" s="8">
        <v>199</v>
      </c>
    </row>
    <row r="15" spans="1:2" x14ac:dyDescent="0.25">
      <c r="A15" s="5">
        <v>14</v>
      </c>
      <c r="B15" s="8">
        <v>220</v>
      </c>
    </row>
    <row r="16" spans="1:2" x14ac:dyDescent="0.25">
      <c r="A16" s="5">
        <v>15</v>
      </c>
      <c r="B16" s="8">
        <v>208</v>
      </c>
    </row>
    <row r="17" spans="1:12" x14ac:dyDescent="0.25">
      <c r="A17" s="5">
        <v>16</v>
      </c>
      <c r="B17" s="8">
        <v>175</v>
      </c>
    </row>
    <row r="18" spans="1:12" ht="15.75" thickBot="1" x14ac:dyDescent="0.3">
      <c r="A18" s="5">
        <v>17</v>
      </c>
      <c r="B18" s="8">
        <v>140</v>
      </c>
    </row>
    <row r="19" spans="1:12" ht="15.75" thickBot="1" x14ac:dyDescent="0.3">
      <c r="A19" s="5">
        <v>18</v>
      </c>
      <c r="B19" s="8">
        <v>121</v>
      </c>
      <c r="D19" s="83" t="s">
        <v>45</v>
      </c>
      <c r="E19" s="84" t="s">
        <v>46</v>
      </c>
    </row>
    <row r="20" spans="1:12" ht="15.75" thickBot="1" x14ac:dyDescent="0.3">
      <c r="A20" s="5">
        <v>19</v>
      </c>
      <c r="B20" s="8">
        <v>146</v>
      </c>
      <c r="D20" s="127">
        <v>0.9</v>
      </c>
      <c r="E20" s="128">
        <v>0.9</v>
      </c>
    </row>
    <row r="21" spans="1:12" ht="15.75" thickBot="1" x14ac:dyDescent="0.3">
      <c r="A21" s="5">
        <v>20</v>
      </c>
      <c r="B21" s="8">
        <v>160</v>
      </c>
    </row>
    <row r="22" spans="1:12" ht="15.75" thickBot="1" x14ac:dyDescent="0.3">
      <c r="A22" s="312" t="s">
        <v>59</v>
      </c>
      <c r="B22" s="313"/>
      <c r="C22" s="313"/>
      <c r="D22" s="313"/>
      <c r="E22" s="313"/>
      <c r="F22" s="313"/>
      <c r="G22" s="313"/>
      <c r="H22" s="314"/>
    </row>
    <row r="23" spans="1:12" ht="15.75" thickBot="1" x14ac:dyDescent="0.3">
      <c r="A23" s="4" t="s">
        <v>0</v>
      </c>
      <c r="B23" s="4" t="s">
        <v>2</v>
      </c>
      <c r="C23" s="26" t="s">
        <v>45</v>
      </c>
      <c r="D23" s="4" t="s">
        <v>46</v>
      </c>
      <c r="E23" s="2" t="s">
        <v>42</v>
      </c>
      <c r="F23" s="2" t="s">
        <v>43</v>
      </c>
      <c r="G23" s="2" t="s">
        <v>44</v>
      </c>
      <c r="H23" s="4" t="s">
        <v>33</v>
      </c>
    </row>
    <row r="24" spans="1:12" x14ac:dyDescent="0.25">
      <c r="A24" s="5">
        <v>1</v>
      </c>
      <c r="B24" s="8">
        <v>145</v>
      </c>
      <c r="C24" s="37">
        <v>0.1</v>
      </c>
      <c r="D24" s="35">
        <v>0.1</v>
      </c>
      <c r="E24" s="34">
        <v>187.73</v>
      </c>
      <c r="F24" s="34">
        <v>-3.4969999999999999</v>
      </c>
      <c r="G24" s="35">
        <f>E24+F24</f>
        <v>184.233</v>
      </c>
      <c r="H24" s="41">
        <f>ABS(B24-G24)</f>
        <v>39.233000000000004</v>
      </c>
    </row>
    <row r="25" spans="1:12" x14ac:dyDescent="0.25">
      <c r="A25" s="5">
        <v>2</v>
      </c>
      <c r="B25" s="8">
        <v>164</v>
      </c>
      <c r="C25" s="38">
        <v>0.2</v>
      </c>
      <c r="D25" s="32">
        <v>0.2</v>
      </c>
      <c r="E25" s="36">
        <f t="shared" ref="E25:E33" si="0">($D$20*B24)+((1-$D$20)*(E24+F24))</f>
        <v>148.92329999999998</v>
      </c>
      <c r="F25" s="36">
        <f t="shared" ref="F25:F33" si="1">($E$20*(E25-E24))+((1-$E$20)*F24)</f>
        <v>-35.275730000000003</v>
      </c>
      <c r="G25" s="32">
        <f t="shared" ref="G25:G33" si="2">E25+F25</f>
        <v>113.64756999999997</v>
      </c>
      <c r="H25" s="42">
        <f>ABS(B25-G25)</f>
        <v>50.352430000000027</v>
      </c>
      <c r="L25" s="29"/>
    </row>
    <row r="26" spans="1:12" x14ac:dyDescent="0.25">
      <c r="A26" s="5">
        <v>3</v>
      </c>
      <c r="B26" s="8">
        <v>178</v>
      </c>
      <c r="C26" s="38">
        <v>0.3</v>
      </c>
      <c r="D26" s="32">
        <v>0.3</v>
      </c>
      <c r="E26" s="36">
        <f t="shared" si="0"/>
        <v>158.96475699999999</v>
      </c>
      <c r="F26" s="36">
        <f t="shared" si="1"/>
        <v>5.5097383000000084</v>
      </c>
      <c r="G26" s="32">
        <f t="shared" si="2"/>
        <v>164.4744953</v>
      </c>
      <c r="H26" s="42">
        <f>ABS(B26-G26)</f>
        <v>13.525504699999999</v>
      </c>
      <c r="L26" s="29"/>
    </row>
    <row r="27" spans="1:12" x14ac:dyDescent="0.25">
      <c r="A27" s="5">
        <v>4</v>
      </c>
      <c r="B27" s="8">
        <v>200</v>
      </c>
      <c r="C27" s="38">
        <v>0.4</v>
      </c>
      <c r="D27" s="32">
        <v>0.4</v>
      </c>
      <c r="E27" s="36">
        <f t="shared" si="0"/>
        <v>176.64744953000002</v>
      </c>
      <c r="F27" s="36">
        <f t="shared" si="1"/>
        <v>16.465397107000026</v>
      </c>
      <c r="G27" s="32">
        <f t="shared" si="2"/>
        <v>193.11284663700005</v>
      </c>
      <c r="H27" s="42">
        <f>ABS(B27-G27)</f>
        <v>6.8871533629999533</v>
      </c>
      <c r="L27" s="29"/>
    </row>
    <row r="28" spans="1:12" x14ac:dyDescent="0.25">
      <c r="A28" s="5">
        <v>5</v>
      </c>
      <c r="B28" s="8">
        <v>215</v>
      </c>
      <c r="C28" s="38">
        <v>0.5</v>
      </c>
      <c r="D28" s="32">
        <v>0.5</v>
      </c>
      <c r="E28" s="36">
        <f t="shared" si="0"/>
        <v>199.31128466370001</v>
      </c>
      <c r="F28" s="36">
        <f t="shared" si="1"/>
        <v>22.043991331029993</v>
      </c>
      <c r="G28" s="32">
        <f t="shared" si="2"/>
        <v>221.35527599472999</v>
      </c>
      <c r="H28" s="42">
        <f t="shared" ref="H28:H33" si="3">ABS(B28-G28)</f>
        <v>6.3552759947299933</v>
      </c>
      <c r="L28" s="29"/>
    </row>
    <row r="29" spans="1:12" x14ac:dyDescent="0.25">
      <c r="A29" s="5">
        <v>6</v>
      </c>
      <c r="B29" s="8">
        <v>205</v>
      </c>
      <c r="C29" s="38">
        <v>0.6</v>
      </c>
      <c r="D29" s="32">
        <v>0.6</v>
      </c>
      <c r="E29" s="36">
        <f t="shared" si="0"/>
        <v>215.63552759947299</v>
      </c>
      <c r="F29" s="36">
        <f t="shared" si="1"/>
        <v>16.896217775298688</v>
      </c>
      <c r="G29" s="32">
        <f t="shared" si="2"/>
        <v>232.53174537477167</v>
      </c>
      <c r="H29" s="42">
        <f t="shared" si="3"/>
        <v>27.531745374771674</v>
      </c>
      <c r="L29" s="29"/>
    </row>
    <row r="30" spans="1:12" x14ac:dyDescent="0.25">
      <c r="A30" s="5">
        <v>7</v>
      </c>
      <c r="B30" s="8">
        <v>170</v>
      </c>
      <c r="C30" s="38">
        <v>0.7</v>
      </c>
      <c r="D30" s="32">
        <v>0.7</v>
      </c>
      <c r="E30" s="36">
        <f t="shared" si="0"/>
        <v>207.75317453747715</v>
      </c>
      <c r="F30" s="36">
        <f t="shared" si="1"/>
        <v>-5.4044959782663913</v>
      </c>
      <c r="G30" s="32">
        <f t="shared" si="2"/>
        <v>202.34867855921075</v>
      </c>
      <c r="H30" s="42">
        <f t="shared" si="3"/>
        <v>32.348678559210754</v>
      </c>
      <c r="L30" s="29"/>
    </row>
    <row r="31" spans="1:12" x14ac:dyDescent="0.25">
      <c r="A31" s="5">
        <v>8</v>
      </c>
      <c r="B31" s="8">
        <v>142</v>
      </c>
      <c r="C31" s="38">
        <v>0.8</v>
      </c>
      <c r="D31" s="32">
        <v>0.8</v>
      </c>
      <c r="E31" s="36">
        <f t="shared" si="0"/>
        <v>173.23486785592107</v>
      </c>
      <c r="F31" s="36">
        <f t="shared" si="1"/>
        <v>-31.606925611227116</v>
      </c>
      <c r="G31" s="32">
        <f t="shared" si="2"/>
        <v>141.62794224469394</v>
      </c>
      <c r="H31" s="42">
        <f t="shared" si="3"/>
        <v>0.37205775530605933</v>
      </c>
      <c r="L31" s="29"/>
    </row>
    <row r="32" spans="1:12" x14ac:dyDescent="0.25">
      <c r="A32" s="5">
        <v>9</v>
      </c>
      <c r="B32" s="8">
        <v>119</v>
      </c>
      <c r="C32" s="38">
        <v>0.9</v>
      </c>
      <c r="D32" s="32">
        <v>0.9</v>
      </c>
      <c r="E32" s="36">
        <f t="shared" si="0"/>
        <v>141.96279422446938</v>
      </c>
      <c r="F32" s="36">
        <f t="shared" si="1"/>
        <v>-31.305558829429234</v>
      </c>
      <c r="G32" s="32">
        <f t="shared" si="2"/>
        <v>110.65723539504015</v>
      </c>
      <c r="H32" s="42">
        <f t="shared" si="3"/>
        <v>8.3427646049598536</v>
      </c>
      <c r="L32" s="29"/>
    </row>
    <row r="33" spans="1:12" ht="15.75" thickBot="1" x14ac:dyDescent="0.3">
      <c r="A33" s="5">
        <v>10</v>
      </c>
      <c r="B33" s="8">
        <v>147</v>
      </c>
      <c r="C33" s="39"/>
      <c r="D33" s="33"/>
      <c r="E33" s="40">
        <f t="shared" si="0"/>
        <v>118.16572353950401</v>
      </c>
      <c r="F33" s="40">
        <f t="shared" si="1"/>
        <v>-24.547919499411748</v>
      </c>
      <c r="G33" s="33">
        <f t="shared" si="2"/>
        <v>93.617804040092267</v>
      </c>
      <c r="H33" s="42">
        <f t="shared" si="3"/>
        <v>53.382195959907733</v>
      </c>
      <c r="L33" s="29"/>
    </row>
    <row r="34" spans="1:12" x14ac:dyDescent="0.25">
      <c r="A34" s="5">
        <v>11</v>
      </c>
      <c r="B34" s="8">
        <v>162</v>
      </c>
      <c r="C34" s="38"/>
      <c r="D34" s="36"/>
      <c r="E34" s="36">
        <v>257.43</v>
      </c>
      <c r="F34" s="36">
        <v>-5.5697000000000001</v>
      </c>
      <c r="G34" s="32">
        <f>E34+F34</f>
        <v>251.8603</v>
      </c>
      <c r="H34" s="42">
        <f>ABS(B34-G34)</f>
        <v>89.860299999999995</v>
      </c>
    </row>
    <row r="35" spans="1:12" x14ac:dyDescent="0.25">
      <c r="A35" s="5">
        <v>12</v>
      </c>
      <c r="B35" s="8">
        <v>180</v>
      </c>
      <c r="C35" s="38"/>
      <c r="D35" s="36"/>
      <c r="E35" s="36">
        <f t="shared" ref="E35:E43" si="4">($D$20*B34)+((1-$D$20)*(E34+F34))</f>
        <v>170.98603</v>
      </c>
      <c r="F35" s="28">
        <f t="shared" ref="F35:F43" si="5">($E$20*(E35-E34))+((1-$E$20)*F34)</f>
        <v>-78.356543000000016</v>
      </c>
      <c r="G35" s="32">
        <f t="shared" ref="G35:G43" si="6">E35+F35</f>
        <v>92.629486999999983</v>
      </c>
      <c r="H35" s="42">
        <f t="shared" ref="H35:H43" si="7">ABS(B35-G35)</f>
        <v>87.370513000000017</v>
      </c>
    </row>
    <row r="36" spans="1:12" x14ac:dyDescent="0.25">
      <c r="A36" s="5">
        <v>13</v>
      </c>
      <c r="B36" s="8">
        <v>199</v>
      </c>
      <c r="C36" s="38"/>
      <c r="D36" s="36"/>
      <c r="E36" s="36">
        <f t="shared" si="4"/>
        <v>171.26294869999998</v>
      </c>
      <c r="F36" s="28">
        <f t="shared" si="5"/>
        <v>-7.5864274700000163</v>
      </c>
      <c r="G36" s="32">
        <f t="shared" si="6"/>
        <v>163.67652122999996</v>
      </c>
      <c r="H36" s="42">
        <f t="shared" si="7"/>
        <v>35.323478770000037</v>
      </c>
    </row>
    <row r="37" spans="1:12" x14ac:dyDescent="0.25">
      <c r="A37" s="5">
        <v>14</v>
      </c>
      <c r="B37" s="8">
        <v>220</v>
      </c>
      <c r="C37" s="38"/>
      <c r="D37" s="36"/>
      <c r="E37" s="36">
        <f t="shared" si="4"/>
        <v>195.46765212299999</v>
      </c>
      <c r="F37" s="28">
        <f t="shared" si="5"/>
        <v>21.025590333700009</v>
      </c>
      <c r="G37" s="32">
        <f t="shared" si="6"/>
        <v>216.49324245669999</v>
      </c>
      <c r="H37" s="42">
        <f t="shared" si="7"/>
        <v>3.5067575433000115</v>
      </c>
    </row>
    <row r="38" spans="1:12" x14ac:dyDescent="0.25">
      <c r="A38" s="5">
        <v>15</v>
      </c>
      <c r="B38" s="8">
        <v>208</v>
      </c>
      <c r="C38" s="38"/>
      <c r="D38" s="36"/>
      <c r="E38" s="36">
        <f t="shared" si="4"/>
        <v>219.64932424566999</v>
      </c>
      <c r="F38" s="28">
        <f t="shared" si="5"/>
        <v>23.866063943772996</v>
      </c>
      <c r="G38" s="32">
        <f t="shared" si="6"/>
        <v>243.51538818944297</v>
      </c>
      <c r="H38" s="42">
        <f t="shared" si="7"/>
        <v>35.515388189442973</v>
      </c>
    </row>
    <row r="39" spans="1:12" x14ac:dyDescent="0.25">
      <c r="A39" s="5">
        <v>16</v>
      </c>
      <c r="B39" s="8">
        <v>175</v>
      </c>
      <c r="C39" s="38"/>
      <c r="D39" s="36"/>
      <c r="E39" s="36">
        <f t="shared" si="4"/>
        <v>211.55153881894432</v>
      </c>
      <c r="F39" s="28">
        <f t="shared" si="5"/>
        <v>-4.9014004896757992</v>
      </c>
      <c r="G39" s="32">
        <f t="shared" si="6"/>
        <v>206.65013832926851</v>
      </c>
      <c r="H39" s="42">
        <f t="shared" si="7"/>
        <v>31.650138329268515</v>
      </c>
    </row>
    <row r="40" spans="1:12" x14ac:dyDescent="0.25">
      <c r="A40" s="5">
        <v>17</v>
      </c>
      <c r="B40" s="8">
        <v>140</v>
      </c>
      <c r="C40" s="38"/>
      <c r="D40" s="36"/>
      <c r="E40" s="36">
        <f t="shared" si="4"/>
        <v>178.16501383292683</v>
      </c>
      <c r="F40" s="28">
        <f t="shared" si="5"/>
        <v>-30.53801253638332</v>
      </c>
      <c r="G40" s="32">
        <f t="shared" si="6"/>
        <v>147.62700129654351</v>
      </c>
      <c r="H40" s="42">
        <f t="shared" si="7"/>
        <v>7.6270012965435114</v>
      </c>
    </row>
    <row r="41" spans="1:12" x14ac:dyDescent="0.25">
      <c r="A41" s="5">
        <v>18</v>
      </c>
      <c r="B41" s="8">
        <v>121</v>
      </c>
      <c r="C41" s="38"/>
      <c r="D41" s="36"/>
      <c r="E41" s="36">
        <f t="shared" si="4"/>
        <v>140.76270012965435</v>
      </c>
      <c r="F41" s="28">
        <f t="shared" si="5"/>
        <v>-36.715883586583573</v>
      </c>
      <c r="G41" s="32">
        <f t="shared" si="6"/>
        <v>104.04681654307078</v>
      </c>
      <c r="H41" s="42">
        <f t="shared" si="7"/>
        <v>16.953183456929224</v>
      </c>
    </row>
    <row r="42" spans="1:12" x14ac:dyDescent="0.25">
      <c r="A42" s="5">
        <v>19</v>
      </c>
      <c r="B42" s="8">
        <v>146</v>
      </c>
      <c r="C42" s="38"/>
      <c r="D42" s="36"/>
      <c r="E42" s="36">
        <f t="shared" si="4"/>
        <v>119.30468165430707</v>
      </c>
      <c r="F42" s="28">
        <f t="shared" si="5"/>
        <v>-22.983804986470904</v>
      </c>
      <c r="G42" s="32">
        <f t="shared" si="6"/>
        <v>96.320876667836174</v>
      </c>
      <c r="H42" s="42">
        <f t="shared" si="7"/>
        <v>49.679123332163826</v>
      </c>
    </row>
    <row r="43" spans="1:12" ht="15.75" thickBot="1" x14ac:dyDescent="0.3">
      <c r="A43" s="6">
        <v>20</v>
      </c>
      <c r="B43" s="8">
        <v>160</v>
      </c>
      <c r="C43" s="39"/>
      <c r="D43" s="40"/>
      <c r="E43" s="36">
        <f t="shared" si="4"/>
        <v>141.03208766678361</v>
      </c>
      <c r="F43" s="28">
        <f t="shared" si="5"/>
        <v>17.256284912581791</v>
      </c>
      <c r="G43" s="32">
        <f t="shared" si="6"/>
        <v>158.28837257936539</v>
      </c>
      <c r="H43" s="42">
        <f t="shared" si="7"/>
        <v>1.7116274206346134</v>
      </c>
    </row>
    <row r="44" spans="1:12" ht="15.75" thickBot="1" x14ac:dyDescent="0.3">
      <c r="A44" s="306" t="s">
        <v>92</v>
      </c>
      <c r="B44" s="307"/>
      <c r="C44" s="80"/>
      <c r="D44" s="78"/>
      <c r="E44" s="78"/>
      <c r="F44" s="78"/>
      <c r="G44" s="78"/>
      <c r="H44" s="79">
        <f>AVERAGE(H24:H43)</f>
        <v>29.876415882508439</v>
      </c>
    </row>
    <row r="45" spans="1:12" x14ac:dyDescent="0.25">
      <c r="A45" s="163"/>
      <c r="B45" s="163"/>
      <c r="C45" s="164"/>
      <c r="D45" s="164"/>
      <c r="E45" s="164"/>
      <c r="F45" s="164"/>
      <c r="G45" s="164"/>
      <c r="H45" s="164"/>
      <c r="I45" s="165"/>
    </row>
    <row r="46" spans="1:12" ht="15.75" thickBot="1" x14ac:dyDescent="0.3"/>
    <row r="47" spans="1:12" ht="15.75" thickBot="1" x14ac:dyDescent="0.3">
      <c r="A47" s="312" t="s">
        <v>47</v>
      </c>
      <c r="B47" s="313"/>
      <c r="C47" s="313"/>
      <c r="D47" s="313"/>
      <c r="E47" s="313"/>
      <c r="F47" s="314"/>
      <c r="J47" s="15"/>
    </row>
    <row r="48" spans="1:12" ht="15.75" thickBot="1" x14ac:dyDescent="0.3">
      <c r="A48" s="26" t="s">
        <v>45</v>
      </c>
      <c r="B48" s="2" t="s">
        <v>46</v>
      </c>
      <c r="C48" s="23" t="s">
        <v>6</v>
      </c>
      <c r="D48" s="4" t="s">
        <v>6</v>
      </c>
      <c r="E48" s="3" t="s">
        <v>87</v>
      </c>
      <c r="F48" s="3" t="s">
        <v>58</v>
      </c>
    </row>
    <row r="49" spans="1:6" ht="15.75" thickBot="1" x14ac:dyDescent="0.3">
      <c r="A49" s="11">
        <v>0.1</v>
      </c>
      <c r="B49" s="7">
        <v>0.1</v>
      </c>
      <c r="C49" s="38">
        <v>29.118613870557358</v>
      </c>
      <c r="D49" s="42"/>
      <c r="E49" s="32">
        <f>AVERAGE(C49:D49)</f>
        <v>29.118613870557358</v>
      </c>
      <c r="F49" s="33">
        <f>MIN(E49:E129)</f>
        <v>28.343345735943206</v>
      </c>
    </row>
    <row r="50" spans="1:6" x14ac:dyDescent="0.25">
      <c r="A50" s="11">
        <v>0.1</v>
      </c>
      <c r="B50" s="7">
        <v>0.2</v>
      </c>
      <c r="C50" s="38">
        <v>28.792045320749956</v>
      </c>
      <c r="D50" s="42"/>
      <c r="E50" s="32">
        <f t="shared" ref="E50:E113" si="8">AVERAGE(C50:D50)</f>
        <v>28.792045320749956</v>
      </c>
      <c r="F50" s="8"/>
    </row>
    <row r="51" spans="1:6" x14ac:dyDescent="0.25">
      <c r="A51" s="11">
        <v>0.1</v>
      </c>
      <c r="B51" s="7">
        <v>0.3</v>
      </c>
      <c r="C51" s="38">
        <v>28.614644669985285</v>
      </c>
      <c r="D51" s="42"/>
      <c r="E51" s="32">
        <f t="shared" si="8"/>
        <v>28.614644669985285</v>
      </c>
      <c r="F51" s="8"/>
    </row>
    <row r="52" spans="1:6" x14ac:dyDescent="0.25">
      <c r="A52" s="11">
        <v>0.1</v>
      </c>
      <c r="B52" s="7">
        <v>0.4</v>
      </c>
      <c r="C52" s="38">
        <v>29.152016199192712</v>
      </c>
      <c r="D52" s="42"/>
      <c r="E52" s="32">
        <f t="shared" si="8"/>
        <v>29.152016199192712</v>
      </c>
      <c r="F52" s="8"/>
    </row>
    <row r="53" spans="1:6" x14ac:dyDescent="0.25">
      <c r="A53" s="11">
        <v>0.1</v>
      </c>
      <c r="B53" s="7">
        <v>0.5</v>
      </c>
      <c r="C53" s="38">
        <v>29.650094304477399</v>
      </c>
      <c r="D53" s="42"/>
      <c r="E53" s="32">
        <f t="shared" si="8"/>
        <v>29.650094304477399</v>
      </c>
      <c r="F53" s="8"/>
    </row>
    <row r="54" spans="1:6" x14ac:dyDescent="0.25">
      <c r="A54" s="11">
        <v>0.1</v>
      </c>
      <c r="B54" s="7">
        <v>0.6</v>
      </c>
      <c r="C54" s="38">
        <v>30.113930346508113</v>
      </c>
      <c r="D54" s="42"/>
      <c r="E54" s="32">
        <f t="shared" si="8"/>
        <v>30.113930346508113</v>
      </c>
      <c r="F54" s="8"/>
    </row>
    <row r="55" spans="1:6" x14ac:dyDescent="0.25">
      <c r="A55" s="11">
        <v>0.1</v>
      </c>
      <c r="B55" s="7">
        <v>0.7</v>
      </c>
      <c r="C55" s="38">
        <v>30.887975289273687</v>
      </c>
      <c r="D55" s="42"/>
      <c r="E55" s="32">
        <f t="shared" si="8"/>
        <v>30.887975289273687</v>
      </c>
      <c r="F55" s="8"/>
    </row>
    <row r="56" spans="1:6" x14ac:dyDescent="0.25">
      <c r="A56" s="11">
        <v>0.1</v>
      </c>
      <c r="B56" s="7">
        <v>0.8</v>
      </c>
      <c r="C56" s="38">
        <v>31.644413985792909</v>
      </c>
      <c r="D56" s="42"/>
      <c r="E56" s="32">
        <f t="shared" si="8"/>
        <v>31.644413985792909</v>
      </c>
      <c r="F56" s="8"/>
    </row>
    <row r="57" spans="1:6" x14ac:dyDescent="0.25">
      <c r="A57" s="11">
        <v>0.1</v>
      </c>
      <c r="B57" s="7">
        <v>0.9</v>
      </c>
      <c r="C57" s="38">
        <v>32.345306901663896</v>
      </c>
      <c r="D57" s="42"/>
      <c r="E57" s="32">
        <f t="shared" si="8"/>
        <v>32.345306901663896</v>
      </c>
      <c r="F57" s="8"/>
    </row>
    <row r="58" spans="1:6" x14ac:dyDescent="0.25">
      <c r="A58" s="11">
        <v>0.2</v>
      </c>
      <c r="B58" s="7">
        <v>0.1</v>
      </c>
      <c r="C58" s="38">
        <v>28.437225212186366</v>
      </c>
      <c r="D58" s="42"/>
      <c r="E58" s="32">
        <f t="shared" si="8"/>
        <v>28.437225212186366</v>
      </c>
      <c r="F58" s="8"/>
    </row>
    <row r="59" spans="1:6" x14ac:dyDescent="0.25">
      <c r="A59" s="11">
        <v>0.2</v>
      </c>
      <c r="B59" s="7">
        <v>0.2</v>
      </c>
      <c r="C59" s="38">
        <v>29.282374812934467</v>
      </c>
      <c r="D59" s="42"/>
      <c r="E59" s="32">
        <f t="shared" si="8"/>
        <v>29.282374812934467</v>
      </c>
      <c r="F59" s="8"/>
    </row>
    <row r="60" spans="1:6" x14ac:dyDescent="0.25">
      <c r="A60" s="11">
        <v>0.2</v>
      </c>
      <c r="B60" s="7">
        <v>0.3</v>
      </c>
      <c r="C60" s="38">
        <v>30.025303142839469</v>
      </c>
      <c r="D60" s="42"/>
      <c r="E60" s="32">
        <f t="shared" si="8"/>
        <v>30.025303142839469</v>
      </c>
      <c r="F60" s="8"/>
    </row>
    <row r="61" spans="1:6" x14ac:dyDescent="0.25">
      <c r="A61" s="11">
        <v>0.2</v>
      </c>
      <c r="B61" s="7">
        <v>0.4</v>
      </c>
      <c r="C61" s="38">
        <v>31.163025717505072</v>
      </c>
      <c r="D61" s="42"/>
      <c r="E61" s="32">
        <f t="shared" si="8"/>
        <v>31.163025717505072</v>
      </c>
      <c r="F61" s="8"/>
    </row>
    <row r="62" spans="1:6" x14ac:dyDescent="0.25">
      <c r="A62" s="11">
        <v>0.2</v>
      </c>
      <c r="B62" s="7">
        <v>0.5</v>
      </c>
      <c r="C62" s="38">
        <v>32.502052610878238</v>
      </c>
      <c r="D62" s="42"/>
      <c r="E62" s="32">
        <f t="shared" si="8"/>
        <v>32.502052610878238</v>
      </c>
      <c r="F62" s="8"/>
    </row>
    <row r="63" spans="1:6" x14ac:dyDescent="0.25">
      <c r="A63" s="11">
        <v>0.2</v>
      </c>
      <c r="B63" s="7">
        <v>0.6</v>
      </c>
      <c r="C63" s="38">
        <v>33.689450362333716</v>
      </c>
      <c r="D63" s="42"/>
      <c r="E63" s="32">
        <f t="shared" si="8"/>
        <v>33.689450362333716</v>
      </c>
      <c r="F63" s="8"/>
    </row>
    <row r="64" spans="1:6" x14ac:dyDescent="0.25">
      <c r="A64" s="11">
        <v>0.2</v>
      </c>
      <c r="B64" s="7">
        <v>0.7</v>
      </c>
      <c r="C64" s="38">
        <v>34.743653682336245</v>
      </c>
      <c r="D64" s="42"/>
      <c r="E64" s="32">
        <f t="shared" si="8"/>
        <v>34.743653682336245</v>
      </c>
      <c r="F64" s="8"/>
    </row>
    <row r="65" spans="1:6" x14ac:dyDescent="0.25">
      <c r="A65" s="11">
        <v>0.2</v>
      </c>
      <c r="B65" s="7">
        <v>0.8</v>
      </c>
      <c r="C65" s="38">
        <v>35.679630301066673</v>
      </c>
      <c r="D65" s="42"/>
      <c r="E65" s="32">
        <f t="shared" si="8"/>
        <v>35.679630301066673</v>
      </c>
      <c r="F65" s="8"/>
    </row>
    <row r="66" spans="1:6" x14ac:dyDescent="0.25">
      <c r="A66" s="11">
        <v>0.2</v>
      </c>
      <c r="B66" s="7">
        <v>0.9</v>
      </c>
      <c r="C66" s="38">
        <v>36.509300809829661</v>
      </c>
      <c r="D66" s="42"/>
      <c r="E66" s="32">
        <f t="shared" si="8"/>
        <v>36.509300809829661</v>
      </c>
      <c r="F66" s="8"/>
    </row>
    <row r="67" spans="1:6" x14ac:dyDescent="0.25">
      <c r="A67" s="11">
        <v>0.3</v>
      </c>
      <c r="B67" s="7">
        <v>0.1</v>
      </c>
      <c r="C67" s="38">
        <v>28.682340102854614</v>
      </c>
      <c r="D67" s="42"/>
      <c r="E67" s="32">
        <f t="shared" si="8"/>
        <v>28.682340102854614</v>
      </c>
      <c r="F67" s="8"/>
    </row>
    <row r="68" spans="1:6" x14ac:dyDescent="0.25">
      <c r="A68" s="11">
        <v>0.3</v>
      </c>
      <c r="B68" s="7">
        <v>0.2</v>
      </c>
      <c r="C68" s="38">
        <v>30.08903590689361</v>
      </c>
      <c r="D68" s="42"/>
      <c r="E68" s="32">
        <f t="shared" si="8"/>
        <v>30.08903590689361</v>
      </c>
      <c r="F68" s="8"/>
    </row>
    <row r="69" spans="1:6" x14ac:dyDescent="0.25">
      <c r="A69" s="11">
        <v>0.3</v>
      </c>
      <c r="B69" s="7">
        <v>0.3</v>
      </c>
      <c r="C69" s="38">
        <v>31.344419709354675</v>
      </c>
      <c r="D69" s="42"/>
      <c r="E69" s="32">
        <f t="shared" si="8"/>
        <v>31.344419709354675</v>
      </c>
      <c r="F69" s="8"/>
    </row>
    <row r="70" spans="1:6" x14ac:dyDescent="0.25">
      <c r="A70" s="11">
        <v>0.3</v>
      </c>
      <c r="B70" s="7">
        <v>0.4</v>
      </c>
      <c r="C70" s="38">
        <v>32.483047893036002</v>
      </c>
      <c r="D70" s="42"/>
      <c r="E70" s="32">
        <f t="shared" si="8"/>
        <v>32.483047893036002</v>
      </c>
      <c r="F70" s="8"/>
    </row>
    <row r="71" spans="1:6" x14ac:dyDescent="0.25">
      <c r="A71" s="11">
        <v>0.3</v>
      </c>
      <c r="B71" s="7">
        <v>0.5</v>
      </c>
      <c r="C71" s="38">
        <v>33.618109504180836</v>
      </c>
      <c r="D71" s="42"/>
      <c r="E71" s="32">
        <f t="shared" si="8"/>
        <v>33.618109504180836</v>
      </c>
      <c r="F71" s="8"/>
    </row>
    <row r="72" spans="1:6" x14ac:dyDescent="0.25">
      <c r="A72" s="11">
        <v>0.3</v>
      </c>
      <c r="B72" s="7">
        <v>0.6</v>
      </c>
      <c r="C72" s="38">
        <v>34.949654254691509</v>
      </c>
      <c r="D72" s="42"/>
      <c r="E72" s="32">
        <f t="shared" si="8"/>
        <v>34.949654254691509</v>
      </c>
      <c r="F72" s="8"/>
    </row>
    <row r="73" spans="1:6" x14ac:dyDescent="0.25">
      <c r="A73" s="11">
        <v>0.3</v>
      </c>
      <c r="B73" s="7">
        <v>0.7</v>
      </c>
      <c r="C73" s="38">
        <v>36.361959803456948</v>
      </c>
      <c r="D73" s="42"/>
      <c r="E73" s="32">
        <f t="shared" si="8"/>
        <v>36.361959803456948</v>
      </c>
      <c r="F73" s="8"/>
    </row>
    <row r="74" spans="1:6" x14ac:dyDescent="0.25">
      <c r="A74" s="11">
        <v>0.3</v>
      </c>
      <c r="B74" s="7">
        <v>0.8</v>
      </c>
      <c r="C74" s="38">
        <v>37.797861568468385</v>
      </c>
      <c r="D74" s="42"/>
      <c r="E74" s="32">
        <f t="shared" si="8"/>
        <v>37.797861568468385</v>
      </c>
      <c r="F74" s="8"/>
    </row>
    <row r="75" spans="1:6" x14ac:dyDescent="0.25">
      <c r="A75" s="11">
        <v>0.3</v>
      </c>
      <c r="B75" s="7">
        <v>0.9</v>
      </c>
      <c r="C75" s="38">
        <v>39.374162880543949</v>
      </c>
      <c r="D75" s="42"/>
      <c r="E75" s="32">
        <f t="shared" si="8"/>
        <v>39.374162880543949</v>
      </c>
      <c r="F75" s="8"/>
    </row>
    <row r="76" spans="1:6" x14ac:dyDescent="0.25">
      <c r="A76" s="11">
        <v>0.4</v>
      </c>
      <c r="B76" s="7">
        <v>0.1</v>
      </c>
      <c r="C76" s="38">
        <v>29.499259221444976</v>
      </c>
      <c r="D76" s="42"/>
      <c r="E76" s="32">
        <f t="shared" si="8"/>
        <v>29.499259221444976</v>
      </c>
      <c r="F76" s="8"/>
    </row>
    <row r="77" spans="1:6" x14ac:dyDescent="0.25">
      <c r="A77" s="11">
        <v>0.4</v>
      </c>
      <c r="B77" s="7">
        <v>0.2</v>
      </c>
      <c r="C77" s="38">
        <v>31.069968248185734</v>
      </c>
      <c r="D77" s="42"/>
      <c r="E77" s="32">
        <f t="shared" si="8"/>
        <v>31.069968248185734</v>
      </c>
      <c r="F77" s="8"/>
    </row>
    <row r="78" spans="1:6" x14ac:dyDescent="0.25">
      <c r="A78" s="11">
        <v>0.4</v>
      </c>
      <c r="B78" s="7">
        <v>0.3</v>
      </c>
      <c r="C78" s="38">
        <v>32.572937929704558</v>
      </c>
      <c r="D78" s="42"/>
      <c r="E78" s="32">
        <f t="shared" si="8"/>
        <v>32.572937929704558</v>
      </c>
      <c r="F78" s="8"/>
    </row>
    <row r="79" spans="1:6" x14ac:dyDescent="0.25">
      <c r="A79" s="11">
        <v>0.4</v>
      </c>
      <c r="B79" s="7">
        <v>0.4</v>
      </c>
      <c r="C79" s="38">
        <v>34.051355660446006</v>
      </c>
      <c r="D79" s="42"/>
      <c r="E79" s="32">
        <f t="shared" si="8"/>
        <v>34.051355660446006</v>
      </c>
      <c r="F79" s="8"/>
    </row>
    <row r="80" spans="1:6" x14ac:dyDescent="0.25">
      <c r="A80" s="11">
        <v>0.4</v>
      </c>
      <c r="B80" s="7">
        <v>0.5</v>
      </c>
      <c r="C80" s="38">
        <v>35.504475477783032</v>
      </c>
      <c r="D80" s="42"/>
      <c r="E80" s="32">
        <f t="shared" si="8"/>
        <v>35.504475477783032</v>
      </c>
      <c r="F80" s="8"/>
    </row>
    <row r="81" spans="1:6" x14ac:dyDescent="0.25">
      <c r="A81" s="11">
        <v>0.4</v>
      </c>
      <c r="B81" s="7">
        <v>0.6</v>
      </c>
      <c r="C81" s="38">
        <v>37.3380860806962</v>
      </c>
      <c r="D81" s="42"/>
      <c r="E81" s="32">
        <f t="shared" si="8"/>
        <v>37.3380860806962</v>
      </c>
      <c r="F81" s="8"/>
    </row>
    <row r="82" spans="1:6" x14ac:dyDescent="0.25">
      <c r="A82" s="11">
        <v>0.4</v>
      </c>
      <c r="B82" s="7">
        <v>0.7</v>
      </c>
      <c r="C82" s="38">
        <v>39.119937224077567</v>
      </c>
      <c r="D82" s="42"/>
      <c r="E82" s="32">
        <f t="shared" si="8"/>
        <v>39.119937224077567</v>
      </c>
      <c r="F82" s="8"/>
    </row>
    <row r="83" spans="1:6" x14ac:dyDescent="0.25">
      <c r="A83" s="11">
        <v>0.4</v>
      </c>
      <c r="B83" s="7">
        <v>0.8</v>
      </c>
      <c r="C83" s="38">
        <v>40.743297972068987</v>
      </c>
      <c r="D83" s="42"/>
      <c r="E83" s="32">
        <f t="shared" si="8"/>
        <v>40.743297972068987</v>
      </c>
      <c r="F83" s="8"/>
    </row>
    <row r="84" spans="1:6" x14ac:dyDescent="0.25">
      <c r="A84" s="11">
        <v>0.4</v>
      </c>
      <c r="B84" s="7">
        <v>0.9</v>
      </c>
      <c r="C84" s="38">
        <v>42.340693861402222</v>
      </c>
      <c r="D84" s="42"/>
      <c r="E84" s="32">
        <f t="shared" si="8"/>
        <v>42.340693861402222</v>
      </c>
      <c r="F84" s="8"/>
    </row>
    <row r="85" spans="1:6" x14ac:dyDescent="0.25">
      <c r="A85" s="11">
        <v>0.5</v>
      </c>
      <c r="B85" s="7">
        <v>0.1</v>
      </c>
      <c r="C85" s="38">
        <v>29.900231300481558</v>
      </c>
      <c r="D85" s="42"/>
      <c r="E85" s="32">
        <f t="shared" si="8"/>
        <v>29.900231300481558</v>
      </c>
      <c r="F85" s="8"/>
    </row>
    <row r="86" spans="1:6" x14ac:dyDescent="0.25">
      <c r="A86" s="11">
        <v>0.5</v>
      </c>
      <c r="B86" s="7">
        <v>0.2</v>
      </c>
      <c r="C86" s="38">
        <v>31.447800846178239</v>
      </c>
      <c r="D86" s="42"/>
      <c r="E86" s="32">
        <f t="shared" si="8"/>
        <v>31.447800846178239</v>
      </c>
      <c r="F86" s="8"/>
    </row>
    <row r="87" spans="1:6" x14ac:dyDescent="0.25">
      <c r="A87" s="11">
        <v>0.5</v>
      </c>
      <c r="B87" s="7">
        <v>0.3</v>
      </c>
      <c r="C87" s="38">
        <v>32.891689694959112</v>
      </c>
      <c r="D87" s="42"/>
      <c r="E87" s="32">
        <f t="shared" si="8"/>
        <v>32.891689694959112</v>
      </c>
      <c r="F87" s="8"/>
    </row>
    <row r="88" spans="1:6" x14ac:dyDescent="0.25">
      <c r="A88" s="11">
        <v>0.5</v>
      </c>
      <c r="B88" s="7">
        <v>0.4</v>
      </c>
      <c r="C88" s="38">
        <v>34.673697739860813</v>
      </c>
      <c r="D88" s="42"/>
      <c r="E88" s="32">
        <f t="shared" si="8"/>
        <v>34.673697739860813</v>
      </c>
      <c r="F88" s="8"/>
    </row>
    <row r="89" spans="1:6" x14ac:dyDescent="0.25">
      <c r="A89" s="11">
        <v>0.5</v>
      </c>
      <c r="B89" s="7">
        <v>0.5</v>
      </c>
      <c r="C89" s="38">
        <v>36.396751909236912</v>
      </c>
      <c r="D89" s="42"/>
      <c r="E89" s="32">
        <f t="shared" si="8"/>
        <v>36.396751909236912</v>
      </c>
      <c r="F89" s="8"/>
    </row>
    <row r="90" spans="1:6" x14ac:dyDescent="0.25">
      <c r="A90" s="11">
        <v>0.5</v>
      </c>
      <c r="B90" s="7">
        <v>0.6</v>
      </c>
      <c r="C90" s="38">
        <v>38.199503261767511</v>
      </c>
      <c r="D90" s="42"/>
      <c r="E90" s="32">
        <f t="shared" si="8"/>
        <v>38.199503261767511</v>
      </c>
      <c r="F90" s="8"/>
    </row>
    <row r="91" spans="1:6" x14ac:dyDescent="0.25">
      <c r="A91" s="11">
        <v>0.5</v>
      </c>
      <c r="B91" s="7">
        <v>0.7</v>
      </c>
      <c r="C91" s="38">
        <v>39.653682767547807</v>
      </c>
      <c r="D91" s="42"/>
      <c r="E91" s="32">
        <f t="shared" si="8"/>
        <v>39.653682767547807</v>
      </c>
      <c r="F91" s="8"/>
    </row>
    <row r="92" spans="1:6" x14ac:dyDescent="0.25">
      <c r="A92" s="11">
        <v>0.5</v>
      </c>
      <c r="B92" s="7">
        <v>0.8</v>
      </c>
      <c r="C92" s="38">
        <v>40.682899025913336</v>
      </c>
      <c r="D92" s="42"/>
      <c r="E92" s="32">
        <f t="shared" si="8"/>
        <v>40.682899025913336</v>
      </c>
      <c r="F92" s="8"/>
    </row>
    <row r="93" spans="1:6" x14ac:dyDescent="0.25">
      <c r="A93" s="11">
        <v>0.5</v>
      </c>
      <c r="B93" s="7">
        <v>0.9</v>
      </c>
      <c r="C93" s="38">
        <v>41.349210444045553</v>
      </c>
      <c r="D93" s="42"/>
      <c r="E93" s="32">
        <f t="shared" si="8"/>
        <v>41.349210444045553</v>
      </c>
      <c r="F93" s="8"/>
    </row>
    <row r="94" spans="1:6" x14ac:dyDescent="0.25">
      <c r="A94" s="11">
        <v>0.6</v>
      </c>
      <c r="B94" s="7">
        <v>0.1</v>
      </c>
      <c r="C94" s="38">
        <v>29.475811554205439</v>
      </c>
      <c r="D94" s="42"/>
      <c r="E94" s="32">
        <f t="shared" si="8"/>
        <v>29.475811554205439</v>
      </c>
      <c r="F94" s="8"/>
    </row>
    <row r="95" spans="1:6" x14ac:dyDescent="0.25">
      <c r="A95" s="11">
        <v>0.6</v>
      </c>
      <c r="B95" s="7">
        <v>0.2</v>
      </c>
      <c r="C95" s="38">
        <v>31.024858895196349</v>
      </c>
      <c r="D95" s="42"/>
      <c r="E95" s="32">
        <f t="shared" si="8"/>
        <v>31.024858895196349</v>
      </c>
      <c r="F95" s="8"/>
    </row>
    <row r="96" spans="1:6" x14ac:dyDescent="0.25">
      <c r="A96" s="11">
        <v>0.6</v>
      </c>
      <c r="B96" s="7">
        <v>0.3</v>
      </c>
      <c r="C96" s="38">
        <v>32.967052665919617</v>
      </c>
      <c r="D96" s="42"/>
      <c r="E96" s="32">
        <f t="shared" si="8"/>
        <v>32.967052665919617</v>
      </c>
      <c r="F96" s="8"/>
    </row>
    <row r="97" spans="1:6" x14ac:dyDescent="0.25">
      <c r="A97" s="11">
        <v>0.6</v>
      </c>
      <c r="B97" s="7">
        <v>0.4</v>
      </c>
      <c r="C97" s="38">
        <v>34.774116477670042</v>
      </c>
      <c r="D97" s="42"/>
      <c r="E97" s="32">
        <f t="shared" si="8"/>
        <v>34.774116477670042</v>
      </c>
      <c r="F97" s="8"/>
    </row>
    <row r="98" spans="1:6" x14ac:dyDescent="0.25">
      <c r="A98" s="11">
        <v>0.6</v>
      </c>
      <c r="B98" s="7">
        <v>0.5</v>
      </c>
      <c r="C98" s="38">
        <v>36.185863733819147</v>
      </c>
      <c r="D98" s="42"/>
      <c r="E98" s="32">
        <f t="shared" si="8"/>
        <v>36.185863733819147</v>
      </c>
      <c r="F98" s="8"/>
    </row>
    <row r="99" spans="1:6" x14ac:dyDescent="0.25">
      <c r="A99" s="11">
        <v>0.6</v>
      </c>
      <c r="B99" s="7">
        <v>0.6</v>
      </c>
      <c r="C99" s="38">
        <v>37.109780658289523</v>
      </c>
      <c r="D99" s="42"/>
      <c r="E99" s="32">
        <f t="shared" si="8"/>
        <v>37.109780658289523</v>
      </c>
      <c r="F99" s="8"/>
    </row>
    <row r="100" spans="1:6" x14ac:dyDescent="0.25">
      <c r="A100" s="11">
        <v>0.6</v>
      </c>
      <c r="B100" s="7">
        <v>0.7</v>
      </c>
      <c r="C100" s="38">
        <v>38.116816002951794</v>
      </c>
      <c r="D100" s="42"/>
      <c r="E100" s="32">
        <f t="shared" si="8"/>
        <v>38.116816002951794</v>
      </c>
      <c r="F100" s="8"/>
    </row>
    <row r="101" spans="1:6" x14ac:dyDescent="0.25">
      <c r="A101" s="11">
        <v>0.6</v>
      </c>
      <c r="B101" s="7">
        <v>0.8</v>
      </c>
      <c r="C101" s="38">
        <v>38.612117091666775</v>
      </c>
      <c r="D101" s="42"/>
      <c r="E101" s="32">
        <f t="shared" si="8"/>
        <v>38.612117091666775</v>
      </c>
      <c r="F101" s="8"/>
    </row>
    <row r="102" spans="1:6" x14ac:dyDescent="0.25">
      <c r="A102" s="11">
        <v>0.6</v>
      </c>
      <c r="B102" s="7">
        <v>0.9</v>
      </c>
      <c r="C102" s="38">
        <v>39.167319469842425</v>
      </c>
      <c r="D102" s="42"/>
      <c r="E102" s="32">
        <f t="shared" si="8"/>
        <v>39.167319469842425</v>
      </c>
      <c r="F102" s="8"/>
    </row>
    <row r="103" spans="1:6" x14ac:dyDescent="0.25">
      <c r="A103" s="11">
        <v>0.7</v>
      </c>
      <c r="B103" s="7">
        <v>0.1</v>
      </c>
      <c r="C103" s="38">
        <v>28.915901930255643</v>
      </c>
      <c r="D103" s="42"/>
      <c r="E103" s="32">
        <f t="shared" si="8"/>
        <v>28.915901930255643</v>
      </c>
      <c r="F103" s="8"/>
    </row>
    <row r="104" spans="1:6" x14ac:dyDescent="0.25">
      <c r="A104" s="11">
        <v>0.7</v>
      </c>
      <c r="B104" s="7">
        <v>0.2</v>
      </c>
      <c r="C104" s="38">
        <v>30.941360201093772</v>
      </c>
      <c r="D104" s="42"/>
      <c r="E104" s="32">
        <f t="shared" si="8"/>
        <v>30.941360201093772</v>
      </c>
      <c r="F104" s="8"/>
    </row>
    <row r="105" spans="1:6" x14ac:dyDescent="0.25">
      <c r="A105" s="11">
        <v>0.7</v>
      </c>
      <c r="B105" s="7">
        <v>0.3</v>
      </c>
      <c r="C105" s="38">
        <v>32.576215651445658</v>
      </c>
      <c r="D105" s="42"/>
      <c r="E105" s="32">
        <f t="shared" si="8"/>
        <v>32.576215651445658</v>
      </c>
      <c r="F105" s="8"/>
    </row>
    <row r="106" spans="1:6" x14ac:dyDescent="0.25">
      <c r="A106" s="11">
        <v>0.7</v>
      </c>
      <c r="B106" s="7">
        <v>0.4</v>
      </c>
      <c r="C106" s="38">
        <v>33.776777805846642</v>
      </c>
      <c r="D106" s="42"/>
      <c r="E106" s="32">
        <f t="shared" si="8"/>
        <v>33.776777805846642</v>
      </c>
      <c r="F106" s="8"/>
    </row>
    <row r="107" spans="1:6" x14ac:dyDescent="0.25">
      <c r="A107" s="11">
        <v>0.7</v>
      </c>
      <c r="B107" s="7">
        <v>0.5</v>
      </c>
      <c r="C107" s="38">
        <v>34.934307646743726</v>
      </c>
      <c r="D107" s="42"/>
      <c r="E107" s="32">
        <f t="shared" si="8"/>
        <v>34.934307646743726</v>
      </c>
      <c r="F107" s="8"/>
    </row>
    <row r="108" spans="1:6" x14ac:dyDescent="0.25">
      <c r="A108" s="11">
        <v>0.7</v>
      </c>
      <c r="B108" s="7">
        <v>0.6</v>
      </c>
      <c r="C108" s="38">
        <v>35.562220373762479</v>
      </c>
      <c r="D108" s="42"/>
      <c r="E108" s="32">
        <f t="shared" si="8"/>
        <v>35.562220373762479</v>
      </c>
      <c r="F108" s="8"/>
    </row>
    <row r="109" spans="1:6" x14ac:dyDescent="0.25">
      <c r="A109" s="11">
        <v>0.7</v>
      </c>
      <c r="B109" s="7">
        <v>0.7</v>
      </c>
      <c r="C109" s="38">
        <v>35.816096928502105</v>
      </c>
      <c r="D109" s="42"/>
      <c r="E109" s="32">
        <f t="shared" si="8"/>
        <v>35.816096928502105</v>
      </c>
      <c r="F109" s="8"/>
    </row>
    <row r="110" spans="1:6" x14ac:dyDescent="0.25">
      <c r="A110" s="11">
        <v>0.7</v>
      </c>
      <c r="B110" s="7">
        <v>0.8</v>
      </c>
      <c r="C110" s="38">
        <v>36.519186917524586</v>
      </c>
      <c r="D110" s="42"/>
      <c r="E110" s="32">
        <f t="shared" si="8"/>
        <v>36.519186917524586</v>
      </c>
      <c r="F110" s="8"/>
    </row>
    <row r="111" spans="1:6" x14ac:dyDescent="0.25">
      <c r="A111" s="11">
        <v>0.7</v>
      </c>
      <c r="B111" s="7">
        <v>0.9</v>
      </c>
      <c r="C111" s="38">
        <v>36.92078851137957</v>
      </c>
      <c r="D111" s="42"/>
      <c r="E111" s="32">
        <f t="shared" si="8"/>
        <v>36.92078851137957</v>
      </c>
      <c r="F111" s="8"/>
    </row>
    <row r="112" spans="1:6" x14ac:dyDescent="0.25">
      <c r="A112" s="11">
        <v>0.8</v>
      </c>
      <c r="B112" s="7">
        <v>0.1</v>
      </c>
      <c r="C112" s="38">
        <v>28.677330596143825</v>
      </c>
      <c r="D112" s="42"/>
      <c r="E112" s="32">
        <f t="shared" si="8"/>
        <v>28.677330596143825</v>
      </c>
      <c r="F112" s="8"/>
    </row>
    <row r="113" spans="1:6" x14ac:dyDescent="0.25">
      <c r="A113" s="11">
        <v>0.8</v>
      </c>
      <c r="B113" s="7">
        <v>0.2</v>
      </c>
      <c r="C113" s="38">
        <v>30.291570647099398</v>
      </c>
      <c r="D113" s="42"/>
      <c r="E113" s="32">
        <f t="shared" si="8"/>
        <v>30.291570647099398</v>
      </c>
      <c r="F113" s="8"/>
    </row>
    <row r="114" spans="1:6" x14ac:dyDescent="0.25">
      <c r="A114" s="11">
        <v>0.8</v>
      </c>
      <c r="B114" s="7">
        <v>0.3</v>
      </c>
      <c r="C114" s="38">
        <v>31.742521208236745</v>
      </c>
      <c r="D114" s="42"/>
      <c r="E114" s="32">
        <f t="shared" ref="E114:E129" si="9">AVERAGE(C114:D114)</f>
        <v>31.742521208236745</v>
      </c>
      <c r="F114" s="8"/>
    </row>
    <row r="115" spans="1:6" x14ac:dyDescent="0.25">
      <c r="A115" s="11">
        <v>0.8</v>
      </c>
      <c r="B115" s="7">
        <v>0.4</v>
      </c>
      <c r="C115" s="38">
        <v>32.73989766789763</v>
      </c>
      <c r="D115" s="42"/>
      <c r="E115" s="32">
        <f t="shared" si="9"/>
        <v>32.73989766789763</v>
      </c>
      <c r="F115" s="8"/>
    </row>
    <row r="116" spans="1:6" x14ac:dyDescent="0.25">
      <c r="A116" s="11">
        <v>0.8</v>
      </c>
      <c r="B116" s="7">
        <v>0.5</v>
      </c>
      <c r="C116" s="38">
        <v>33.190436504097278</v>
      </c>
      <c r="D116" s="42"/>
      <c r="E116" s="32">
        <f t="shared" si="9"/>
        <v>33.190436504097278</v>
      </c>
      <c r="F116" s="8"/>
    </row>
    <row r="117" spans="1:6" x14ac:dyDescent="0.25">
      <c r="A117" s="11">
        <v>0.8</v>
      </c>
      <c r="B117" s="7">
        <v>0.6</v>
      </c>
      <c r="C117" s="38">
        <v>33.47810501818477</v>
      </c>
      <c r="D117" s="42"/>
      <c r="E117" s="32">
        <f t="shared" si="9"/>
        <v>33.47810501818477</v>
      </c>
      <c r="F117" s="8"/>
    </row>
    <row r="118" spans="1:6" x14ac:dyDescent="0.25">
      <c r="A118" s="11">
        <v>0.8</v>
      </c>
      <c r="B118" s="7">
        <v>0.7</v>
      </c>
      <c r="C118" s="38">
        <v>33.850373761718942</v>
      </c>
      <c r="D118" s="42"/>
      <c r="E118" s="32">
        <f t="shared" si="9"/>
        <v>33.850373761718942</v>
      </c>
      <c r="F118" s="8"/>
    </row>
    <row r="119" spans="1:6" x14ac:dyDescent="0.25">
      <c r="A119" s="11">
        <v>0.8</v>
      </c>
      <c r="B119" s="7">
        <v>0.8</v>
      </c>
      <c r="C119" s="38">
        <v>33.891933265340029</v>
      </c>
      <c r="D119" s="42"/>
      <c r="E119" s="32">
        <f t="shared" si="9"/>
        <v>33.891933265340029</v>
      </c>
      <c r="F119" s="8"/>
    </row>
    <row r="120" spans="1:6" x14ac:dyDescent="0.25">
      <c r="A120" s="11">
        <v>0.8</v>
      </c>
      <c r="B120" s="7">
        <v>0.9</v>
      </c>
      <c r="C120" s="38">
        <v>33.375505266607021</v>
      </c>
      <c r="D120" s="42"/>
      <c r="E120" s="32">
        <f t="shared" si="9"/>
        <v>33.375505266607021</v>
      </c>
      <c r="F120" s="8"/>
    </row>
    <row r="121" spans="1:6" x14ac:dyDescent="0.25">
      <c r="A121" s="98">
        <v>0.9</v>
      </c>
      <c r="B121" s="95">
        <v>0.1</v>
      </c>
      <c r="C121" s="166">
        <v>28.343345735943206</v>
      </c>
      <c r="D121" s="96"/>
      <c r="E121" s="167">
        <f t="shared" si="9"/>
        <v>28.343345735943206</v>
      </c>
      <c r="F121" s="8"/>
    </row>
    <row r="122" spans="1:6" x14ac:dyDescent="0.25">
      <c r="A122" s="11">
        <v>0.9</v>
      </c>
      <c r="B122" s="7">
        <v>0.2</v>
      </c>
      <c r="C122" s="38">
        <v>29.752956405458935</v>
      </c>
      <c r="D122" s="42"/>
      <c r="E122" s="32">
        <f t="shared" si="9"/>
        <v>29.752956405458935</v>
      </c>
      <c r="F122" s="8"/>
    </row>
    <row r="123" spans="1:6" x14ac:dyDescent="0.25">
      <c r="A123" s="11">
        <v>0.9</v>
      </c>
      <c r="B123" s="7">
        <v>0.3</v>
      </c>
      <c r="C123" s="38">
        <v>30.730063840002543</v>
      </c>
      <c r="D123" s="42"/>
      <c r="E123" s="32">
        <f t="shared" si="9"/>
        <v>30.730063840002543</v>
      </c>
      <c r="F123" s="8"/>
    </row>
    <row r="124" spans="1:6" x14ac:dyDescent="0.25">
      <c r="A124" s="11">
        <v>0.9</v>
      </c>
      <c r="B124" s="7">
        <v>0.4</v>
      </c>
      <c r="C124" s="38">
        <v>31.173812722022678</v>
      </c>
      <c r="D124" s="42"/>
      <c r="E124" s="32">
        <f t="shared" si="9"/>
        <v>31.173812722022678</v>
      </c>
      <c r="F124" s="8"/>
    </row>
    <row r="125" spans="1:6" x14ac:dyDescent="0.25">
      <c r="A125" s="11">
        <v>0.9</v>
      </c>
      <c r="B125" s="7">
        <v>0.5</v>
      </c>
      <c r="C125" s="38">
        <v>31.468890028912796</v>
      </c>
      <c r="D125" s="42"/>
      <c r="E125" s="32">
        <f t="shared" si="9"/>
        <v>31.468890028912796</v>
      </c>
      <c r="F125" s="8"/>
    </row>
    <row r="126" spans="1:6" x14ac:dyDescent="0.25">
      <c r="A126" s="11">
        <v>0.9</v>
      </c>
      <c r="B126" s="7">
        <v>0.6</v>
      </c>
      <c r="C126" s="38">
        <v>31.473007840337907</v>
      </c>
      <c r="D126" s="42"/>
      <c r="E126" s="32">
        <f t="shared" si="9"/>
        <v>31.473007840337907</v>
      </c>
      <c r="F126" s="8"/>
    </row>
    <row r="127" spans="1:6" x14ac:dyDescent="0.25">
      <c r="A127" s="11">
        <v>0.9</v>
      </c>
      <c r="B127" s="7">
        <v>0.7</v>
      </c>
      <c r="C127" s="38">
        <v>31.404506297860291</v>
      </c>
      <c r="D127" s="42"/>
      <c r="E127" s="32">
        <f t="shared" si="9"/>
        <v>31.404506297860291</v>
      </c>
      <c r="F127" s="8"/>
    </row>
    <row r="128" spans="1:6" x14ac:dyDescent="0.25">
      <c r="A128" s="11">
        <v>0.9</v>
      </c>
      <c r="B128" s="7">
        <v>0.8</v>
      </c>
      <c r="C128" s="38">
        <v>30.818489266713449</v>
      </c>
      <c r="D128" s="42"/>
      <c r="E128" s="32">
        <f t="shared" si="9"/>
        <v>30.818489266713449</v>
      </c>
      <c r="F128" s="8"/>
    </row>
    <row r="129" spans="1:6" ht="15.75" thickBot="1" x14ac:dyDescent="0.3">
      <c r="A129" s="27">
        <v>0.9</v>
      </c>
      <c r="B129" s="9">
        <v>0.9</v>
      </c>
      <c r="C129" s="39">
        <v>29.876415882508439</v>
      </c>
      <c r="D129" s="43"/>
      <c r="E129" s="33">
        <f t="shared" si="9"/>
        <v>29.876415882508439</v>
      </c>
      <c r="F129" s="10"/>
    </row>
    <row r="130" spans="1:6" x14ac:dyDescent="0.25">
      <c r="A130" s="7"/>
      <c r="B130" s="7"/>
      <c r="C130" s="7"/>
      <c r="D130" s="7"/>
      <c r="E130" s="7"/>
    </row>
    <row r="131" spans="1:6" x14ac:dyDescent="0.25">
      <c r="A131" s="7"/>
      <c r="B131" s="7"/>
      <c r="C131" s="7"/>
      <c r="D131" s="7"/>
      <c r="E131" s="7"/>
    </row>
    <row r="132" spans="1:6" x14ac:dyDescent="0.25">
      <c r="F132" s="7"/>
    </row>
  </sheetData>
  <mergeCells count="3">
    <mergeCell ref="A44:B44"/>
    <mergeCell ref="A22:H22"/>
    <mergeCell ref="A47:F47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rend">
                <anchor moveWithCells="1" sizeWithCells="1">
                  <from>
                    <xdr:col>5</xdr:col>
                    <xdr:colOff>1228725</xdr:colOff>
                    <xdr:row>18</xdr:row>
                    <xdr:rowOff>0</xdr:rowOff>
                  </from>
                  <to>
                    <xdr:col>8</xdr:col>
                    <xdr:colOff>47625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45B0C-E84C-47A1-AE77-C8D4532D02EF}">
  <sheetPr codeName="Sheet13"/>
  <dimension ref="A1:L129"/>
  <sheetViews>
    <sheetView zoomScale="85" zoomScaleNormal="85" workbookViewId="0">
      <selection activeCell="L33" sqref="L33"/>
    </sheetView>
  </sheetViews>
  <sheetFormatPr defaultColWidth="11.140625" defaultRowHeight="15" x14ac:dyDescent="0.25"/>
  <cols>
    <col min="1" max="7" width="11.140625" style="1"/>
    <col min="8" max="8" width="18.42578125" style="1" bestFit="1" customWidth="1"/>
    <col min="9" max="16384" width="11.140625" style="1"/>
  </cols>
  <sheetData>
    <row r="1" spans="1:2" ht="15.75" thickBot="1" x14ac:dyDescent="0.3">
      <c r="A1" s="4" t="s">
        <v>0</v>
      </c>
      <c r="B1" s="4" t="s">
        <v>2</v>
      </c>
    </row>
    <row r="2" spans="1:2" x14ac:dyDescent="0.25">
      <c r="A2" s="5">
        <v>1</v>
      </c>
      <c r="B2" s="8">
        <v>145</v>
      </c>
    </row>
    <row r="3" spans="1:2" x14ac:dyDescent="0.25">
      <c r="A3" s="5">
        <v>2</v>
      </c>
      <c r="B3" s="8">
        <v>164</v>
      </c>
    </row>
    <row r="4" spans="1:2" x14ac:dyDescent="0.25">
      <c r="A4" s="5">
        <v>3</v>
      </c>
      <c r="B4" s="8">
        <v>178</v>
      </c>
    </row>
    <row r="5" spans="1:2" x14ac:dyDescent="0.25">
      <c r="A5" s="5">
        <v>4</v>
      </c>
      <c r="B5" s="8">
        <v>200</v>
      </c>
    </row>
    <row r="6" spans="1:2" x14ac:dyDescent="0.25">
      <c r="A6" s="5">
        <v>5</v>
      </c>
      <c r="B6" s="8">
        <v>215</v>
      </c>
    </row>
    <row r="7" spans="1:2" x14ac:dyDescent="0.25">
      <c r="A7" s="5">
        <v>6</v>
      </c>
      <c r="B7" s="8">
        <v>205</v>
      </c>
    </row>
    <row r="8" spans="1:2" x14ac:dyDescent="0.25">
      <c r="A8" s="5">
        <v>7</v>
      </c>
      <c r="B8" s="8">
        <v>170</v>
      </c>
    </row>
    <row r="9" spans="1:2" x14ac:dyDescent="0.25">
      <c r="A9" s="5">
        <v>8</v>
      </c>
      <c r="B9" s="8">
        <v>142</v>
      </c>
    </row>
    <row r="10" spans="1:2" x14ac:dyDescent="0.25">
      <c r="A10" s="5">
        <v>9</v>
      </c>
      <c r="B10" s="8">
        <v>119</v>
      </c>
    </row>
    <row r="11" spans="1:2" x14ac:dyDescent="0.25">
      <c r="A11" s="5">
        <v>10</v>
      </c>
      <c r="B11" s="8">
        <v>147</v>
      </c>
    </row>
    <row r="12" spans="1:2" x14ac:dyDescent="0.25">
      <c r="A12" s="5">
        <v>11</v>
      </c>
      <c r="B12" s="8">
        <v>162</v>
      </c>
    </row>
    <row r="13" spans="1:2" x14ac:dyDescent="0.25">
      <c r="A13" s="5">
        <v>12</v>
      </c>
      <c r="B13" s="8">
        <v>180</v>
      </c>
    </row>
    <row r="14" spans="1:2" x14ac:dyDescent="0.25">
      <c r="A14" s="5">
        <v>13</v>
      </c>
      <c r="B14" s="8">
        <v>199</v>
      </c>
    </row>
    <row r="15" spans="1:2" x14ac:dyDescent="0.25">
      <c r="A15" s="5">
        <v>14</v>
      </c>
      <c r="B15" s="8">
        <v>220</v>
      </c>
    </row>
    <row r="16" spans="1:2" x14ac:dyDescent="0.25">
      <c r="A16" s="5">
        <v>15</v>
      </c>
      <c r="B16" s="8">
        <v>208</v>
      </c>
    </row>
    <row r="17" spans="1:12" x14ac:dyDescent="0.25">
      <c r="A17" s="5">
        <v>16</v>
      </c>
      <c r="B17" s="8">
        <v>175</v>
      </c>
    </row>
    <row r="18" spans="1:12" ht="15.75" thickBot="1" x14ac:dyDescent="0.3">
      <c r="A18" s="5">
        <v>17</v>
      </c>
      <c r="B18" s="8">
        <v>140</v>
      </c>
    </row>
    <row r="19" spans="1:12" ht="15.75" thickBot="1" x14ac:dyDescent="0.3">
      <c r="A19" s="5">
        <v>18</v>
      </c>
      <c r="B19" s="8">
        <v>121</v>
      </c>
      <c r="D19" s="83" t="s">
        <v>45</v>
      </c>
      <c r="E19" s="84" t="s">
        <v>48</v>
      </c>
    </row>
    <row r="20" spans="1:12" ht="15.75" thickBot="1" x14ac:dyDescent="0.3">
      <c r="A20" s="5">
        <v>19</v>
      </c>
      <c r="B20" s="8">
        <v>146</v>
      </c>
      <c r="D20" s="129">
        <v>0.9</v>
      </c>
      <c r="E20" s="130">
        <v>0.9</v>
      </c>
    </row>
    <row r="21" spans="1:12" ht="15.75" thickBot="1" x14ac:dyDescent="0.3">
      <c r="A21" s="6">
        <v>20</v>
      </c>
      <c r="B21" s="8">
        <v>160</v>
      </c>
    </row>
    <row r="22" spans="1:12" ht="15.75" thickBot="1" x14ac:dyDescent="0.3">
      <c r="A22" s="326" t="s">
        <v>6</v>
      </c>
      <c r="B22" s="327"/>
      <c r="C22" s="326" t="s">
        <v>49</v>
      </c>
      <c r="D22" s="328"/>
      <c r="E22" s="328"/>
      <c r="F22" s="328"/>
      <c r="G22" s="328"/>
      <c r="H22" s="327"/>
    </row>
    <row r="23" spans="1:12" ht="15.75" thickBot="1" x14ac:dyDescent="0.3">
      <c r="A23" s="4" t="s">
        <v>0</v>
      </c>
      <c r="B23" s="4" t="s">
        <v>3</v>
      </c>
      <c r="C23" s="26" t="s">
        <v>45</v>
      </c>
      <c r="D23" s="30" t="s">
        <v>48</v>
      </c>
      <c r="E23" s="2" t="s">
        <v>51</v>
      </c>
      <c r="F23" s="2" t="s">
        <v>52</v>
      </c>
      <c r="G23" s="2" t="s">
        <v>42</v>
      </c>
      <c r="H23" s="4" t="s">
        <v>33</v>
      </c>
    </row>
    <row r="24" spans="1:12" x14ac:dyDescent="0.25">
      <c r="A24" s="45">
        <v>1</v>
      </c>
      <c r="B24" s="31">
        <v>145</v>
      </c>
      <c r="C24" s="52">
        <v>0.1</v>
      </c>
      <c r="D24" s="53">
        <v>0.1</v>
      </c>
      <c r="E24" s="45" t="s">
        <v>34</v>
      </c>
      <c r="F24" s="34">
        <f>B24/$E$32</f>
        <v>0.84850455136540959</v>
      </c>
      <c r="G24" s="31" t="s">
        <v>34</v>
      </c>
      <c r="H24" s="31" t="s">
        <v>34</v>
      </c>
    </row>
    <row r="25" spans="1:12" x14ac:dyDescent="0.25">
      <c r="A25" s="11">
        <v>2</v>
      </c>
      <c r="B25" s="5">
        <v>164</v>
      </c>
      <c r="C25" s="13">
        <v>0.2</v>
      </c>
      <c r="D25" s="54">
        <v>0.2</v>
      </c>
      <c r="E25" s="11" t="s">
        <v>34</v>
      </c>
      <c r="F25" s="36">
        <f t="shared" ref="F25:F32" si="0">B25/$E$32</f>
        <v>0.95968790637191159</v>
      </c>
      <c r="G25" s="5" t="s">
        <v>34</v>
      </c>
      <c r="H25" s="5" t="s">
        <v>34</v>
      </c>
      <c r="L25" s="29"/>
    </row>
    <row r="26" spans="1:12" x14ac:dyDescent="0.25">
      <c r="A26" s="11">
        <v>3</v>
      </c>
      <c r="B26" s="5">
        <v>178</v>
      </c>
      <c r="C26" s="13">
        <v>0.3</v>
      </c>
      <c r="D26" s="54">
        <v>0.3</v>
      </c>
      <c r="E26" s="11" t="s">
        <v>34</v>
      </c>
      <c r="F26" s="36">
        <f t="shared" si="0"/>
        <v>1.0416124837451235</v>
      </c>
      <c r="G26" s="5" t="s">
        <v>34</v>
      </c>
      <c r="H26" s="5" t="s">
        <v>34</v>
      </c>
      <c r="L26" s="29"/>
    </row>
    <row r="27" spans="1:12" ht="15.75" thickBot="1" x14ac:dyDescent="0.3">
      <c r="A27" s="11">
        <v>4</v>
      </c>
      <c r="B27" s="6">
        <v>200</v>
      </c>
      <c r="C27" s="13">
        <v>0.4</v>
      </c>
      <c r="D27" s="54">
        <v>0.4</v>
      </c>
      <c r="E27" s="11" t="s">
        <v>34</v>
      </c>
      <c r="F27" s="36">
        <f t="shared" si="0"/>
        <v>1.1703511053315996</v>
      </c>
      <c r="G27" s="5" t="s">
        <v>34</v>
      </c>
      <c r="H27" s="5" t="s">
        <v>34</v>
      </c>
      <c r="L27" s="29"/>
    </row>
    <row r="28" spans="1:12" x14ac:dyDescent="0.25">
      <c r="A28" s="45">
        <v>5</v>
      </c>
      <c r="B28" s="31">
        <v>215</v>
      </c>
      <c r="C28" s="13">
        <v>0.5</v>
      </c>
      <c r="D28" s="54">
        <v>0.5</v>
      </c>
      <c r="E28" s="11" t="s">
        <v>34</v>
      </c>
      <c r="F28" s="36">
        <f t="shared" si="0"/>
        <v>1.2581274382314696</v>
      </c>
      <c r="G28" s="5" t="s">
        <v>34</v>
      </c>
      <c r="H28" s="5" t="s">
        <v>34</v>
      </c>
      <c r="L28" s="29"/>
    </row>
    <row r="29" spans="1:12" x14ac:dyDescent="0.25">
      <c r="A29" s="11">
        <v>6</v>
      </c>
      <c r="B29" s="5">
        <v>205</v>
      </c>
      <c r="C29" s="13">
        <v>0.6</v>
      </c>
      <c r="D29" s="54">
        <v>0.6</v>
      </c>
      <c r="E29" s="11" t="s">
        <v>34</v>
      </c>
      <c r="F29" s="36">
        <f t="shared" si="0"/>
        <v>1.1996098829648896</v>
      </c>
      <c r="G29" s="5" t="s">
        <v>34</v>
      </c>
      <c r="H29" s="5" t="s">
        <v>34</v>
      </c>
      <c r="L29" s="29"/>
    </row>
    <row r="30" spans="1:12" x14ac:dyDescent="0.25">
      <c r="A30" s="11">
        <v>7</v>
      </c>
      <c r="B30" s="5">
        <v>170</v>
      </c>
      <c r="C30" s="13">
        <v>0.7</v>
      </c>
      <c r="D30" s="54">
        <v>0.7</v>
      </c>
      <c r="E30" s="11" t="s">
        <v>34</v>
      </c>
      <c r="F30" s="36">
        <f t="shared" si="0"/>
        <v>0.99479843953185954</v>
      </c>
      <c r="G30" s="5" t="s">
        <v>34</v>
      </c>
      <c r="H30" s="5" t="s">
        <v>34</v>
      </c>
      <c r="L30" s="29"/>
    </row>
    <row r="31" spans="1:12" ht="15.75" thickBot="1" x14ac:dyDescent="0.3">
      <c r="A31" s="27">
        <v>8</v>
      </c>
      <c r="B31" s="6">
        <v>142</v>
      </c>
      <c r="C31" s="13">
        <v>0.8</v>
      </c>
      <c r="D31" s="54">
        <v>0.8</v>
      </c>
      <c r="E31" s="11" t="s">
        <v>34</v>
      </c>
      <c r="F31" s="36">
        <f t="shared" si="0"/>
        <v>0.83094928478543562</v>
      </c>
      <c r="G31" s="5" t="s">
        <v>34</v>
      </c>
      <c r="H31" s="5" t="s">
        <v>34</v>
      </c>
      <c r="L31" s="29"/>
    </row>
    <row r="32" spans="1:12" ht="15.75" thickBot="1" x14ac:dyDescent="0.3">
      <c r="A32" s="45">
        <v>9</v>
      </c>
      <c r="B32" s="31">
        <v>119</v>
      </c>
      <c r="C32" s="55">
        <v>0.9</v>
      </c>
      <c r="D32" s="56">
        <v>0.9</v>
      </c>
      <c r="E32" s="39">
        <f>AVERAGE(B24:B32)</f>
        <v>170.88888888888889</v>
      </c>
      <c r="F32" s="40">
        <f t="shared" si="0"/>
        <v>0.69635890767230169</v>
      </c>
      <c r="G32" s="43" t="s">
        <v>34</v>
      </c>
      <c r="H32" s="43" t="s">
        <v>34</v>
      </c>
      <c r="L32" s="29"/>
    </row>
    <row r="33" spans="1:12" x14ac:dyDescent="0.25">
      <c r="A33" s="11">
        <v>10</v>
      </c>
      <c r="B33" s="5">
        <v>147</v>
      </c>
      <c r="C33" s="45"/>
      <c r="D33" s="34"/>
      <c r="E33" s="37">
        <f t="shared" ref="E33:E43" si="1">(($D$20*(B33/F29))+((1-$D$20)*(E32)))</f>
        <v>127.37474254742547</v>
      </c>
      <c r="F33" s="34">
        <f t="shared" ref="F33:F43" si="2">($E$20*(B33/E33))+((1-$E$20)*F29)</f>
        <v>1.158628445863602</v>
      </c>
      <c r="G33" s="35">
        <f>E32*F24</f>
        <v>145</v>
      </c>
      <c r="H33" s="41">
        <f>ABS(B33-G33)</f>
        <v>2</v>
      </c>
      <c r="L33" s="29"/>
    </row>
    <row r="34" spans="1:12" x14ac:dyDescent="0.25">
      <c r="A34" s="11">
        <v>11</v>
      </c>
      <c r="B34" s="5">
        <v>162</v>
      </c>
      <c r="C34" s="11"/>
      <c r="D34" s="36"/>
      <c r="E34" s="38">
        <f t="shared" si="1"/>
        <v>159.29982719591902</v>
      </c>
      <c r="F34" s="36">
        <f t="shared" si="2"/>
        <v>1.0147350740840013</v>
      </c>
      <c r="G34" s="32">
        <f t="shared" ref="G34:G43" si="3">E33*F25</f>
        <v>122.24</v>
      </c>
      <c r="H34" s="42">
        <f t="shared" ref="H34:H43" si="4">ABS(B34-G34)</f>
        <v>39.760000000000005</v>
      </c>
    </row>
    <row r="35" spans="1:12" ht="15.75" thickBot="1" x14ac:dyDescent="0.3">
      <c r="A35" s="27">
        <v>12</v>
      </c>
      <c r="B35" s="6">
        <v>180</v>
      </c>
      <c r="C35" s="11"/>
      <c r="D35" s="36"/>
      <c r="E35" s="38">
        <f t="shared" si="1"/>
        <v>210.88772919846514</v>
      </c>
      <c r="F35" s="36">
        <f t="shared" si="2"/>
        <v>0.8512761812035079</v>
      </c>
      <c r="G35" s="32">
        <f t="shared" si="3"/>
        <v>165.92868866571018</v>
      </c>
      <c r="H35" s="42">
        <f t="shared" si="4"/>
        <v>14.071311334289817</v>
      </c>
    </row>
    <row r="36" spans="1:12" x14ac:dyDescent="0.25">
      <c r="A36" s="11">
        <v>13</v>
      </c>
      <c r="B36" s="31">
        <v>199</v>
      </c>
      <c r="C36" s="11"/>
      <c r="D36" s="36"/>
      <c r="E36" s="38">
        <f t="shared" si="1"/>
        <v>278.28373090303984</v>
      </c>
      <c r="F36" s="36">
        <f t="shared" si="2"/>
        <v>0.71322363992818416</v>
      </c>
      <c r="G36" s="32">
        <f t="shared" si="3"/>
        <v>246.81268696829471</v>
      </c>
      <c r="H36" s="42">
        <f t="shared" si="4"/>
        <v>47.812686968294713</v>
      </c>
    </row>
    <row r="37" spans="1:12" x14ac:dyDescent="0.25">
      <c r="A37" s="11">
        <v>14</v>
      </c>
      <c r="B37" s="5">
        <v>220</v>
      </c>
      <c r="C37" s="11"/>
      <c r="D37" s="36"/>
      <c r="E37" s="38">
        <f t="shared" si="1"/>
        <v>198.72008622480897</v>
      </c>
      <c r="F37" s="36">
        <f t="shared" si="2"/>
        <v>1.1122392238518444</v>
      </c>
      <c r="G37" s="32">
        <f t="shared" si="3"/>
        <v>350.11639746253712</v>
      </c>
      <c r="H37" s="42">
        <f t="shared" si="4"/>
        <v>130.11639746253712</v>
      </c>
    </row>
    <row r="38" spans="1:12" x14ac:dyDescent="0.25">
      <c r="A38" s="11">
        <v>15</v>
      </c>
      <c r="B38" s="5">
        <v>208</v>
      </c>
      <c r="C38" s="11"/>
      <c r="D38" s="36"/>
      <c r="E38" s="38">
        <f t="shared" si="1"/>
        <v>204.35365785391696</v>
      </c>
      <c r="F38" s="36">
        <f t="shared" si="2"/>
        <v>1.0175324709030524</v>
      </c>
      <c r="G38" s="32">
        <f t="shared" si="3"/>
        <v>238.38657937891585</v>
      </c>
      <c r="H38" s="42">
        <f t="shared" si="4"/>
        <v>30.386579378915854</v>
      </c>
    </row>
    <row r="39" spans="1:12" ht="15.75" thickBot="1" x14ac:dyDescent="0.3">
      <c r="A39" s="11">
        <v>16</v>
      </c>
      <c r="B39" s="6">
        <v>175</v>
      </c>
      <c r="C39" s="11"/>
      <c r="D39" s="36"/>
      <c r="E39" s="38">
        <f t="shared" si="1"/>
        <v>205.45170182022753</v>
      </c>
      <c r="F39" s="36">
        <f t="shared" si="2"/>
        <v>0.85173114880229284</v>
      </c>
      <c r="G39" s="32">
        <f t="shared" si="3"/>
        <v>203.29069994570412</v>
      </c>
      <c r="H39" s="42">
        <f t="shared" si="4"/>
        <v>28.29069994570412</v>
      </c>
    </row>
    <row r="40" spans="1:12" x14ac:dyDescent="0.25">
      <c r="A40" s="45">
        <v>17</v>
      </c>
      <c r="B40" s="5">
        <v>140</v>
      </c>
      <c r="C40" s="11"/>
      <c r="D40" s="36"/>
      <c r="E40" s="38">
        <f t="shared" si="1"/>
        <v>197.20785064601745</v>
      </c>
      <c r="F40" s="36">
        <f t="shared" si="2"/>
        <v>0.71024216149198827</v>
      </c>
      <c r="G40" s="32">
        <f t="shared" si="3"/>
        <v>170.71994468546865</v>
      </c>
      <c r="H40" s="42">
        <f t="shared" si="4"/>
        <v>30.719944685468647</v>
      </c>
    </row>
    <row r="41" spans="1:12" ht="15.75" thickBot="1" x14ac:dyDescent="0.3">
      <c r="A41" s="11">
        <v>18</v>
      </c>
      <c r="B41" s="5">
        <v>121</v>
      </c>
      <c r="C41" s="39"/>
      <c r="D41" s="40"/>
      <c r="E41" s="39">
        <f t="shared" si="1"/>
        <v>117.63137629772122</v>
      </c>
      <c r="F41" s="40">
        <f t="shared" si="2"/>
        <v>1.0369973293406349</v>
      </c>
      <c r="G41" s="33">
        <f t="shared" si="3"/>
        <v>137.32744346026311</v>
      </c>
      <c r="H41" s="43">
        <f t="shared" si="4"/>
        <v>16.327443460263112</v>
      </c>
    </row>
    <row r="42" spans="1:12" x14ac:dyDescent="0.25">
      <c r="A42" s="11">
        <v>19</v>
      </c>
      <c r="B42" s="5">
        <v>146</v>
      </c>
      <c r="C42" s="45"/>
      <c r="D42" s="34"/>
      <c r="E42" s="37">
        <f t="shared" si="1"/>
        <v>140.89906572785384</v>
      </c>
      <c r="F42" s="34">
        <f t="shared" si="2"/>
        <v>1.0343357260529318</v>
      </c>
      <c r="G42" s="35">
        <f t="shared" si="3"/>
        <v>136.2910587046253</v>
      </c>
      <c r="H42" s="41">
        <f t="shared" si="4"/>
        <v>9.7089412953747001</v>
      </c>
    </row>
    <row r="43" spans="1:12" ht="15.75" thickBot="1" x14ac:dyDescent="0.3">
      <c r="A43" s="27">
        <v>20</v>
      </c>
      <c r="B43" s="6">
        <v>160</v>
      </c>
      <c r="C43" s="11"/>
      <c r="D43" s="36"/>
      <c r="E43" s="38">
        <f t="shared" si="1"/>
        <v>183.15734082418419</v>
      </c>
      <c r="F43" s="36">
        <f t="shared" si="2"/>
        <v>0.87138238911416799</v>
      </c>
      <c r="G43" s="32">
        <f t="shared" si="3"/>
        <v>142.97522389972033</v>
      </c>
      <c r="H43" s="42">
        <f t="shared" si="4"/>
        <v>17.024776100279666</v>
      </c>
    </row>
    <row r="44" spans="1:12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9">
        <f>AVERAGE(H34:H43)</f>
        <v>36.421878063112771</v>
      </c>
    </row>
    <row r="45" spans="1:12" x14ac:dyDescent="0.25">
      <c r="A45" s="24"/>
      <c r="B45" s="24"/>
      <c r="C45" s="51"/>
      <c r="D45" s="51"/>
      <c r="E45" s="51"/>
      <c r="F45" s="51"/>
      <c r="G45" s="51"/>
      <c r="H45" s="51"/>
    </row>
    <row r="46" spans="1:12" ht="15.75" thickBot="1" x14ac:dyDescent="0.3"/>
    <row r="47" spans="1:12" ht="15.75" thickBot="1" x14ac:dyDescent="0.3">
      <c r="A47" s="326" t="s">
        <v>47</v>
      </c>
      <c r="B47" s="328"/>
      <c r="C47" s="328"/>
      <c r="D47" s="327"/>
      <c r="J47" s="15"/>
    </row>
    <row r="48" spans="1:12" ht="15.75" thickBot="1" x14ac:dyDescent="0.3">
      <c r="A48" s="26" t="s">
        <v>45</v>
      </c>
      <c r="B48" s="2" t="s">
        <v>46</v>
      </c>
      <c r="C48" s="4" t="s">
        <v>6</v>
      </c>
      <c r="D48" s="4" t="s">
        <v>6</v>
      </c>
    </row>
    <row r="49" spans="1:4" x14ac:dyDescent="0.25">
      <c r="A49" s="11">
        <v>0.1</v>
      </c>
      <c r="B49" s="7">
        <v>0.1</v>
      </c>
      <c r="C49" s="42">
        <v>14.515614825807642</v>
      </c>
      <c r="D49" s="42">
        <f>MIN(C49:C129)</f>
        <v>9.76071879666166</v>
      </c>
    </row>
    <row r="50" spans="1:4" x14ac:dyDescent="0.25">
      <c r="A50" s="11">
        <v>0.1</v>
      </c>
      <c r="B50" s="7">
        <v>0.2</v>
      </c>
      <c r="C50" s="42">
        <v>13.794268163490534</v>
      </c>
      <c r="D50" s="42"/>
    </row>
    <row r="51" spans="1:4" x14ac:dyDescent="0.25">
      <c r="A51" s="11">
        <v>0.1</v>
      </c>
      <c r="B51" s="7">
        <v>0.3</v>
      </c>
      <c r="C51" s="42">
        <v>13.114621231972691</v>
      </c>
      <c r="D51" s="42"/>
    </row>
    <row r="52" spans="1:4" x14ac:dyDescent="0.25">
      <c r="A52" s="11">
        <v>0.1</v>
      </c>
      <c r="B52" s="7">
        <v>0.4</v>
      </c>
      <c r="C52" s="42">
        <v>12.472560867926202</v>
      </c>
      <c r="D52" s="42"/>
    </row>
    <row r="53" spans="1:4" x14ac:dyDescent="0.25">
      <c r="A53" s="11">
        <v>0.1</v>
      </c>
      <c r="B53" s="7">
        <v>0.5</v>
      </c>
      <c r="C53" s="42">
        <v>11.865194541610043</v>
      </c>
      <c r="D53" s="42"/>
    </row>
    <row r="54" spans="1:4" x14ac:dyDescent="0.25">
      <c r="A54" s="11">
        <v>0.1</v>
      </c>
      <c r="B54" s="7">
        <v>0.6</v>
      </c>
      <c r="C54" s="42">
        <v>11.290720253151402</v>
      </c>
      <c r="D54" s="42"/>
    </row>
    <row r="55" spans="1:4" x14ac:dyDescent="0.25">
      <c r="A55" s="11">
        <v>0.1</v>
      </c>
      <c r="B55" s="7">
        <v>0.7</v>
      </c>
      <c r="C55" s="42">
        <v>10.748315152241529</v>
      </c>
      <c r="D55" s="42"/>
    </row>
    <row r="56" spans="1:4" x14ac:dyDescent="0.25">
      <c r="A56" s="11">
        <v>0.1</v>
      </c>
      <c r="B56" s="7">
        <v>0.8</v>
      </c>
      <c r="C56" s="42">
        <v>10.238034490785749</v>
      </c>
      <c r="D56" s="42"/>
    </row>
    <row r="57" spans="1:4" x14ac:dyDescent="0.25">
      <c r="A57" s="98">
        <v>0.1</v>
      </c>
      <c r="B57" s="95">
        <v>0.9</v>
      </c>
      <c r="C57" s="96">
        <v>9.76071879666166</v>
      </c>
      <c r="D57" s="42"/>
    </row>
    <row r="58" spans="1:4" x14ac:dyDescent="0.25">
      <c r="A58" s="11">
        <v>0.2</v>
      </c>
      <c r="B58" s="7">
        <v>0.1</v>
      </c>
      <c r="C58" s="42">
        <v>20.820383944349292</v>
      </c>
      <c r="D58" s="42"/>
    </row>
    <row r="59" spans="1:4" x14ac:dyDescent="0.25">
      <c r="A59" s="11">
        <v>0.2</v>
      </c>
      <c r="B59" s="7">
        <v>0.2</v>
      </c>
      <c r="C59" s="42">
        <v>20.109549862199817</v>
      </c>
      <c r="D59" s="42"/>
    </row>
    <row r="60" spans="1:4" x14ac:dyDescent="0.25">
      <c r="A60" s="11">
        <v>0.2</v>
      </c>
      <c r="B60" s="7">
        <v>0.3</v>
      </c>
      <c r="C60" s="42">
        <v>19.455333295981283</v>
      </c>
      <c r="D60" s="42"/>
    </row>
    <row r="61" spans="1:4" x14ac:dyDescent="0.25">
      <c r="A61" s="11">
        <v>0.2</v>
      </c>
      <c r="B61" s="7">
        <v>0.4</v>
      </c>
      <c r="C61" s="42">
        <v>18.852657562162872</v>
      </c>
      <c r="D61" s="42"/>
    </row>
    <row r="62" spans="1:4" x14ac:dyDescent="0.25">
      <c r="A62" s="11">
        <v>0.2</v>
      </c>
      <c r="B62" s="7">
        <v>0.5</v>
      </c>
      <c r="C62" s="42">
        <v>18.297721577399422</v>
      </c>
      <c r="D62" s="42"/>
    </row>
    <row r="63" spans="1:4" x14ac:dyDescent="0.25">
      <c r="A63" s="11">
        <v>0.2</v>
      </c>
      <c r="B63" s="7">
        <v>0.6</v>
      </c>
      <c r="C63" s="42">
        <v>17.787940781524409</v>
      </c>
      <c r="D63" s="42"/>
    </row>
    <row r="64" spans="1:4" x14ac:dyDescent="0.25">
      <c r="A64" s="11">
        <v>0.2</v>
      </c>
      <c r="B64" s="7">
        <v>0.7</v>
      </c>
      <c r="C64" s="42">
        <v>17.321896284187872</v>
      </c>
      <c r="D64" s="42"/>
    </row>
    <row r="65" spans="1:4" x14ac:dyDescent="0.25">
      <c r="A65" s="11">
        <v>0.2</v>
      </c>
      <c r="B65" s="7">
        <v>0.8</v>
      </c>
      <c r="C65" s="42">
        <v>16.89928381495249</v>
      </c>
      <c r="D65" s="42"/>
    </row>
    <row r="66" spans="1:4" x14ac:dyDescent="0.25">
      <c r="A66" s="11">
        <v>0.2</v>
      </c>
      <c r="B66" s="7">
        <v>0.9</v>
      </c>
      <c r="C66" s="42">
        <v>16.520858783929746</v>
      </c>
      <c r="D66" s="42"/>
    </row>
    <row r="67" spans="1:4" x14ac:dyDescent="0.25">
      <c r="A67" s="11">
        <v>0.3</v>
      </c>
      <c r="B67" s="7">
        <v>0.1</v>
      </c>
      <c r="C67" s="42">
        <v>24.884815973075963</v>
      </c>
      <c r="D67" s="42"/>
    </row>
    <row r="68" spans="1:4" x14ac:dyDescent="0.25">
      <c r="A68" s="11">
        <v>0.3</v>
      </c>
      <c r="B68" s="7">
        <v>0.2</v>
      </c>
      <c r="C68" s="42">
        <v>24.257350572254218</v>
      </c>
      <c r="D68" s="42"/>
    </row>
    <row r="69" spans="1:4" x14ac:dyDescent="0.25">
      <c r="A69" s="11">
        <v>0.3</v>
      </c>
      <c r="B69" s="7">
        <v>0.3</v>
      </c>
      <c r="C69" s="42">
        <v>23.685689624831461</v>
      </c>
      <c r="D69" s="42"/>
    </row>
    <row r="70" spans="1:4" x14ac:dyDescent="0.25">
      <c r="A70" s="11">
        <v>0.3</v>
      </c>
      <c r="B70" s="7">
        <v>0.4</v>
      </c>
      <c r="C70" s="42">
        <v>23.165513159200458</v>
      </c>
      <c r="D70" s="42"/>
    </row>
    <row r="71" spans="1:4" x14ac:dyDescent="0.25">
      <c r="A71" s="11">
        <v>0.3</v>
      </c>
      <c r="B71" s="7">
        <v>0.5</v>
      </c>
      <c r="C71" s="42">
        <v>22.693427053643578</v>
      </c>
      <c r="D71" s="42"/>
    </row>
    <row r="72" spans="1:4" x14ac:dyDescent="0.25">
      <c r="A72" s="11">
        <v>0.3</v>
      </c>
      <c r="B72" s="7">
        <v>0.6</v>
      </c>
      <c r="C72" s="42">
        <v>22.26698049239895</v>
      </c>
      <c r="D72" s="42"/>
    </row>
    <row r="73" spans="1:4" x14ac:dyDescent="0.25">
      <c r="A73" s="11">
        <v>0.3</v>
      </c>
      <c r="B73" s="7">
        <v>0.7</v>
      </c>
      <c r="C73" s="42">
        <v>21.88468791636453</v>
      </c>
      <c r="D73" s="42"/>
    </row>
    <row r="74" spans="1:4" x14ac:dyDescent="0.25">
      <c r="A74" s="11">
        <v>0.3</v>
      </c>
      <c r="B74" s="7">
        <v>0.8</v>
      </c>
      <c r="C74" s="42">
        <v>21.546049795050713</v>
      </c>
      <c r="D74" s="42"/>
    </row>
    <row r="75" spans="1:4" x14ac:dyDescent="0.25">
      <c r="A75" s="11">
        <v>0.3</v>
      </c>
      <c r="B75" s="7">
        <v>0.9</v>
      </c>
      <c r="C75" s="42">
        <v>21.251568661576364</v>
      </c>
      <c r="D75" s="42"/>
    </row>
    <row r="76" spans="1:4" x14ac:dyDescent="0.25">
      <c r="A76" s="11">
        <v>0.4</v>
      </c>
      <c r="B76" s="7">
        <v>0.1</v>
      </c>
      <c r="C76" s="42">
        <v>28.22986545168639</v>
      </c>
      <c r="D76" s="42"/>
    </row>
    <row r="77" spans="1:4" x14ac:dyDescent="0.25">
      <c r="A77" s="11">
        <v>0.4</v>
      </c>
      <c r="B77" s="7">
        <v>0.2</v>
      </c>
      <c r="C77" s="42">
        <v>27.699688526243733</v>
      </c>
      <c r="D77" s="42"/>
    </row>
    <row r="78" spans="1:4" x14ac:dyDescent="0.25">
      <c r="A78" s="11">
        <v>0.4</v>
      </c>
      <c r="B78" s="7">
        <v>0.3</v>
      </c>
      <c r="C78" s="42">
        <v>27.195730371806111</v>
      </c>
      <c r="D78" s="42"/>
    </row>
    <row r="79" spans="1:4" x14ac:dyDescent="0.25">
      <c r="A79" s="11">
        <v>0.4</v>
      </c>
      <c r="B79" s="7">
        <v>0.4</v>
      </c>
      <c r="C79" s="42">
        <v>26.716274136964351</v>
      </c>
      <c r="D79" s="42"/>
    </row>
    <row r="80" spans="1:4" x14ac:dyDescent="0.25">
      <c r="A80" s="11">
        <v>0.4</v>
      </c>
      <c r="B80" s="7">
        <v>0.5</v>
      </c>
      <c r="C80" s="42">
        <v>26.259883748529923</v>
      </c>
      <c r="D80" s="42"/>
    </row>
    <row r="81" spans="1:4" x14ac:dyDescent="0.25">
      <c r="A81" s="11">
        <v>0.4</v>
      </c>
      <c r="B81" s="7">
        <v>0.6</v>
      </c>
      <c r="C81" s="42">
        <v>25.825387429232006</v>
      </c>
      <c r="D81" s="42"/>
    </row>
    <row r="82" spans="1:4" x14ac:dyDescent="0.25">
      <c r="A82" s="11">
        <v>0.4</v>
      </c>
      <c r="B82" s="7">
        <v>0.7</v>
      </c>
      <c r="C82" s="42">
        <v>25.411856087935728</v>
      </c>
      <c r="D82" s="42"/>
    </row>
    <row r="83" spans="1:4" x14ac:dyDescent="0.25">
      <c r="A83" s="11">
        <v>0.4</v>
      </c>
      <c r="B83" s="7">
        <v>0.8</v>
      </c>
      <c r="C83" s="42">
        <v>25.018574380556188</v>
      </c>
      <c r="D83" s="42"/>
    </row>
    <row r="84" spans="1:4" x14ac:dyDescent="0.25">
      <c r="A84" s="11">
        <v>0.4</v>
      </c>
      <c r="B84" s="7">
        <v>0.9</v>
      </c>
      <c r="C84" s="42">
        <v>24.71235579012329</v>
      </c>
      <c r="D84" s="42"/>
    </row>
    <row r="85" spans="1:4" x14ac:dyDescent="0.25">
      <c r="A85" s="11">
        <v>0.5</v>
      </c>
      <c r="B85" s="7">
        <v>0.1</v>
      </c>
      <c r="C85" s="42">
        <v>31.191124686751369</v>
      </c>
      <c r="D85" s="42"/>
    </row>
    <row r="86" spans="1:4" x14ac:dyDescent="0.25">
      <c r="A86" s="11">
        <v>0.5</v>
      </c>
      <c r="B86" s="7">
        <v>0.2</v>
      </c>
      <c r="C86" s="42">
        <v>30.731379504709714</v>
      </c>
      <c r="D86" s="42"/>
    </row>
    <row r="87" spans="1:4" x14ac:dyDescent="0.25">
      <c r="A87" s="11">
        <v>0.5</v>
      </c>
      <c r="B87" s="7">
        <v>0.3</v>
      </c>
      <c r="C87" s="42">
        <v>30.286869654123382</v>
      </c>
      <c r="D87" s="42"/>
    </row>
    <row r="88" spans="1:4" x14ac:dyDescent="0.25">
      <c r="A88" s="11">
        <v>0.5</v>
      </c>
      <c r="B88" s="7">
        <v>0.4</v>
      </c>
      <c r="C88" s="42">
        <v>29.856248765257135</v>
      </c>
      <c r="D88" s="42"/>
    </row>
    <row r="89" spans="1:4" x14ac:dyDescent="0.25">
      <c r="A89" s="11">
        <v>0.5</v>
      </c>
      <c r="B89" s="7">
        <v>0.5</v>
      </c>
      <c r="C89" s="42">
        <v>29.438273609161467</v>
      </c>
      <c r="D89" s="42"/>
    </row>
    <row r="90" spans="1:4" x14ac:dyDescent="0.25">
      <c r="A90" s="11">
        <v>0.5</v>
      </c>
      <c r="B90" s="7">
        <v>0.6</v>
      </c>
      <c r="C90" s="42">
        <v>29.031799112609292</v>
      </c>
      <c r="D90" s="42"/>
    </row>
    <row r="91" spans="1:4" x14ac:dyDescent="0.25">
      <c r="A91" s="11">
        <v>0.5</v>
      </c>
      <c r="B91" s="7">
        <v>0.7</v>
      </c>
      <c r="C91" s="42">
        <v>28.635769181540081</v>
      </c>
      <c r="D91" s="42"/>
    </row>
    <row r="92" spans="1:4" x14ac:dyDescent="0.25">
      <c r="A92" s="11">
        <v>0.5</v>
      </c>
      <c r="B92" s="7">
        <v>0.8</v>
      </c>
      <c r="C92" s="42">
        <v>28.249201773236859</v>
      </c>
      <c r="D92" s="42"/>
    </row>
    <row r="93" spans="1:4" x14ac:dyDescent="0.25">
      <c r="A93" s="11">
        <v>0.5</v>
      </c>
      <c r="B93" s="7">
        <v>0.9</v>
      </c>
      <c r="C93" s="42">
        <v>27.871166453955322</v>
      </c>
      <c r="D93" s="42"/>
    </row>
    <row r="94" spans="1:4" x14ac:dyDescent="0.25">
      <c r="A94" s="11">
        <v>0.6</v>
      </c>
      <c r="B94" s="7">
        <v>0.1</v>
      </c>
      <c r="C94" s="42">
        <v>33.178438747273177</v>
      </c>
      <c r="D94" s="42"/>
    </row>
    <row r="95" spans="1:4" x14ac:dyDescent="0.25">
      <c r="A95" s="11">
        <v>0.6</v>
      </c>
      <c r="B95" s="7">
        <v>0.2</v>
      </c>
      <c r="C95" s="42">
        <v>32.83042599689675</v>
      </c>
      <c r="D95" s="42"/>
    </row>
    <row r="96" spans="1:4" x14ac:dyDescent="0.25">
      <c r="A96" s="11">
        <v>0.6</v>
      </c>
      <c r="B96" s="7">
        <v>0.3</v>
      </c>
      <c r="C96" s="42">
        <v>32.488344026485969</v>
      </c>
      <c r="D96" s="42"/>
    </row>
    <row r="97" spans="1:4" x14ac:dyDescent="0.25">
      <c r="A97" s="11">
        <v>0.6</v>
      </c>
      <c r="B97" s="7">
        <v>0.4</v>
      </c>
      <c r="C97" s="42">
        <v>32.151267555623349</v>
      </c>
      <c r="D97" s="42"/>
    </row>
    <row r="98" spans="1:4" x14ac:dyDescent="0.25">
      <c r="A98" s="11">
        <v>0.6</v>
      </c>
      <c r="B98" s="7">
        <v>0.5</v>
      </c>
      <c r="C98" s="42">
        <v>31.818281199338333</v>
      </c>
      <c r="D98" s="42"/>
    </row>
    <row r="99" spans="1:4" x14ac:dyDescent="0.25">
      <c r="A99" s="11">
        <v>0.6</v>
      </c>
      <c r="B99" s="7">
        <v>0.6</v>
      </c>
      <c r="C99" s="42">
        <v>31.488478289236106</v>
      </c>
      <c r="D99" s="42"/>
    </row>
    <row r="100" spans="1:4" x14ac:dyDescent="0.25">
      <c r="A100" s="11">
        <v>0.6</v>
      </c>
      <c r="B100" s="7">
        <v>0.7</v>
      </c>
      <c r="C100" s="42">
        <v>31.160957679191085</v>
      </c>
      <c r="D100" s="42"/>
    </row>
    <row r="101" spans="1:4" x14ac:dyDescent="0.25">
      <c r="A101" s="11">
        <v>0.6</v>
      </c>
      <c r="B101" s="7">
        <v>0.8</v>
      </c>
      <c r="C101" s="42">
        <v>30.83481785889585</v>
      </c>
      <c r="D101" s="42"/>
    </row>
    <row r="102" spans="1:4" x14ac:dyDescent="0.25">
      <c r="A102" s="11">
        <v>0.6</v>
      </c>
      <c r="B102" s="7">
        <v>0.9</v>
      </c>
      <c r="C102" s="42">
        <v>30.509147572031178</v>
      </c>
      <c r="D102" s="42"/>
    </row>
    <row r="103" spans="1:4" x14ac:dyDescent="0.25">
      <c r="A103" s="11">
        <v>0.7</v>
      </c>
      <c r="B103" s="7">
        <v>0.1</v>
      </c>
      <c r="C103" s="42">
        <v>34.344068460810327</v>
      </c>
      <c r="D103" s="42"/>
    </row>
    <row r="104" spans="1:4" x14ac:dyDescent="0.25">
      <c r="A104" s="11">
        <v>0.7</v>
      </c>
      <c r="B104" s="7">
        <v>0.2</v>
      </c>
      <c r="C104" s="42">
        <v>34.129035362196042</v>
      </c>
      <c r="D104" s="42"/>
    </row>
    <row r="105" spans="1:4" x14ac:dyDescent="0.25">
      <c r="A105" s="11">
        <v>0.7</v>
      </c>
      <c r="B105" s="7">
        <v>0.3</v>
      </c>
      <c r="C105" s="42">
        <v>33.914375458273206</v>
      </c>
      <c r="D105" s="42"/>
    </row>
    <row r="106" spans="1:4" x14ac:dyDescent="0.25">
      <c r="A106" s="11">
        <v>0.7</v>
      </c>
      <c r="B106" s="7">
        <v>0.4</v>
      </c>
      <c r="C106" s="42">
        <v>33.699570489488984</v>
      </c>
      <c r="D106" s="42"/>
    </row>
    <row r="107" spans="1:4" x14ac:dyDescent="0.25">
      <c r="A107" s="11">
        <v>0.7</v>
      </c>
      <c r="B107" s="7">
        <v>0.5</v>
      </c>
      <c r="C107" s="42">
        <v>33.484088100683763</v>
      </c>
      <c r="D107" s="42"/>
    </row>
    <row r="108" spans="1:4" x14ac:dyDescent="0.25">
      <c r="A108" s="11">
        <v>0.7</v>
      </c>
      <c r="B108" s="7">
        <v>0.6</v>
      </c>
      <c r="C108" s="42">
        <v>33.267381693108049</v>
      </c>
      <c r="D108" s="42"/>
    </row>
    <row r="109" spans="1:4" x14ac:dyDescent="0.25">
      <c r="A109" s="11">
        <v>0.7</v>
      </c>
      <c r="B109" s="7">
        <v>0.7</v>
      </c>
      <c r="C109" s="42">
        <v>33.048889720769395</v>
      </c>
      <c r="D109" s="42"/>
    </row>
    <row r="110" spans="1:4" x14ac:dyDescent="0.25">
      <c r="A110" s="11">
        <v>0.7</v>
      </c>
      <c r="B110" s="7">
        <v>0.8</v>
      </c>
      <c r="C110" s="42">
        <v>32.82803427387644</v>
      </c>
      <c r="D110" s="42"/>
    </row>
    <row r="111" spans="1:4" x14ac:dyDescent="0.25">
      <c r="A111" s="11">
        <v>0.7</v>
      </c>
      <c r="B111" s="7">
        <v>0.9</v>
      </c>
      <c r="C111" s="42">
        <v>32.604218762430634</v>
      </c>
      <c r="D111" s="42"/>
    </row>
    <row r="112" spans="1:4" x14ac:dyDescent="0.25">
      <c r="A112" s="11">
        <v>0.8</v>
      </c>
      <c r="B112" s="7">
        <v>0.1</v>
      </c>
      <c r="C112" s="42">
        <v>34.855100637236418</v>
      </c>
      <c r="D112" s="42"/>
    </row>
    <row r="113" spans="1:4" x14ac:dyDescent="0.25">
      <c r="A113" s="11">
        <v>0.8</v>
      </c>
      <c r="B113" s="7">
        <v>0.2</v>
      </c>
      <c r="C113" s="42">
        <v>34.731188651079563</v>
      </c>
      <c r="D113" s="42"/>
    </row>
    <row r="114" spans="1:4" x14ac:dyDescent="0.25">
      <c r="A114" s="11">
        <v>0.8</v>
      </c>
      <c r="B114" s="7">
        <v>0.3</v>
      </c>
      <c r="C114" s="42">
        <v>34.609210724970794</v>
      </c>
      <c r="D114" s="42"/>
    </row>
    <row r="115" spans="1:4" x14ac:dyDescent="0.25">
      <c r="A115" s="11">
        <v>0.8</v>
      </c>
      <c r="B115" s="7">
        <v>0.4</v>
      </c>
      <c r="C115" s="42">
        <v>34.510760195588738</v>
      </c>
      <c r="D115" s="42"/>
    </row>
    <row r="116" spans="1:4" x14ac:dyDescent="0.25">
      <c r="A116" s="11">
        <v>0.8</v>
      </c>
      <c r="B116" s="7">
        <v>0.5</v>
      </c>
      <c r="C116" s="42">
        <v>34.416186404133725</v>
      </c>
      <c r="D116" s="42"/>
    </row>
    <row r="117" spans="1:4" x14ac:dyDescent="0.25">
      <c r="A117" s="11">
        <v>0.8</v>
      </c>
      <c r="B117" s="7">
        <v>0.6</v>
      </c>
      <c r="C117" s="42">
        <v>34.319626526992479</v>
      </c>
      <c r="D117" s="42"/>
    </row>
    <row r="118" spans="1:4" x14ac:dyDescent="0.25">
      <c r="A118" s="11">
        <v>0.8</v>
      </c>
      <c r="B118" s="7">
        <v>0.7</v>
      </c>
      <c r="C118" s="42">
        <v>34.220856797626695</v>
      </c>
      <c r="D118" s="42"/>
    </row>
    <row r="119" spans="1:4" x14ac:dyDescent="0.25">
      <c r="A119" s="11">
        <v>0.8</v>
      </c>
      <c r="B119" s="7">
        <v>0.8</v>
      </c>
      <c r="C119" s="42">
        <v>34.119645605818476</v>
      </c>
      <c r="D119" s="42"/>
    </row>
    <row r="120" spans="1:4" x14ac:dyDescent="0.25">
      <c r="A120" s="11">
        <v>0.8</v>
      </c>
      <c r="B120" s="7">
        <v>0.9</v>
      </c>
      <c r="C120" s="42">
        <v>34.015753286315963</v>
      </c>
      <c r="D120" s="42"/>
    </row>
    <row r="121" spans="1:4" x14ac:dyDescent="0.25">
      <c r="A121" s="11">
        <v>0.9</v>
      </c>
      <c r="B121" s="7">
        <v>0.1</v>
      </c>
      <c r="C121" s="42">
        <v>37.053593360831577</v>
      </c>
      <c r="D121" s="42"/>
    </row>
    <row r="122" spans="1:4" x14ac:dyDescent="0.25">
      <c r="A122" s="11">
        <v>0.9</v>
      </c>
      <c r="B122" s="7">
        <v>0.2</v>
      </c>
      <c r="C122" s="42">
        <v>36.972973459540746</v>
      </c>
      <c r="D122" s="42"/>
    </row>
    <row r="123" spans="1:4" x14ac:dyDescent="0.25">
      <c r="A123" s="11">
        <v>0.9</v>
      </c>
      <c r="B123" s="7">
        <v>0.3</v>
      </c>
      <c r="C123" s="42">
        <v>36.892778163729034</v>
      </c>
      <c r="D123" s="42"/>
    </row>
    <row r="124" spans="1:4" x14ac:dyDescent="0.25">
      <c r="A124" s="11">
        <v>0.9</v>
      </c>
      <c r="B124" s="7">
        <v>0.4</v>
      </c>
      <c r="C124" s="42">
        <v>36.81303254896595</v>
      </c>
      <c r="D124" s="42"/>
    </row>
    <row r="125" spans="1:4" x14ac:dyDescent="0.25">
      <c r="A125" s="11">
        <v>0.9</v>
      </c>
      <c r="B125" s="7">
        <v>0.5</v>
      </c>
      <c r="C125" s="42">
        <v>36.733761029869413</v>
      </c>
      <c r="D125" s="42"/>
    </row>
    <row r="126" spans="1:4" x14ac:dyDescent="0.25">
      <c r="A126" s="11">
        <v>0.9</v>
      </c>
      <c r="B126" s="7">
        <v>0.6</v>
      </c>
      <c r="C126" s="42">
        <v>36.65498730806943</v>
      </c>
      <c r="D126" s="42"/>
    </row>
    <row r="127" spans="1:4" x14ac:dyDescent="0.25">
      <c r="A127" s="11">
        <v>0.9</v>
      </c>
      <c r="B127" s="7">
        <v>0.7</v>
      </c>
      <c r="C127" s="42">
        <v>36.576734316904904</v>
      </c>
      <c r="D127" s="42"/>
    </row>
    <row r="128" spans="1:4" x14ac:dyDescent="0.25">
      <c r="A128" s="11">
        <v>0.9</v>
      </c>
      <c r="B128" s="7">
        <v>0.8</v>
      </c>
      <c r="C128" s="42">
        <v>36.49902416278151</v>
      </c>
      <c r="D128" s="42"/>
    </row>
    <row r="129" spans="1:4" ht="15.75" thickBot="1" x14ac:dyDescent="0.3">
      <c r="A129" s="27">
        <v>0.9</v>
      </c>
      <c r="B129" s="9">
        <v>0.9</v>
      </c>
      <c r="C129" s="43">
        <v>36.421878063112771</v>
      </c>
      <c r="D129" s="43"/>
    </row>
  </sheetData>
  <mergeCells count="4">
    <mergeCell ref="A22:B22"/>
    <mergeCell ref="C22:H22"/>
    <mergeCell ref="A44:B44"/>
    <mergeCell ref="A47:D47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asonalityonly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1162050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F580B-4C36-4153-98D0-7EFB77F2B996}">
  <sheetPr codeName="Sheet11"/>
  <dimension ref="A1:U779"/>
  <sheetViews>
    <sheetView zoomScale="85" zoomScaleNormal="85" workbookViewId="0">
      <selection activeCell="N19" sqref="N19"/>
    </sheetView>
  </sheetViews>
  <sheetFormatPr defaultColWidth="11.140625" defaultRowHeight="15" x14ac:dyDescent="0.25"/>
  <cols>
    <col min="1" max="1" width="15" style="1" bestFit="1" customWidth="1"/>
    <col min="2" max="9" width="11.140625" style="1"/>
    <col min="10" max="11" width="18.42578125" style="1" bestFit="1" customWidth="1"/>
    <col min="12" max="16384" width="11.140625" style="1"/>
  </cols>
  <sheetData>
    <row r="1" spans="1:2" ht="15.75" thickBot="1" x14ac:dyDescent="0.3">
      <c r="A1" s="60" t="s">
        <v>0</v>
      </c>
      <c r="B1" s="60" t="s">
        <v>2</v>
      </c>
    </row>
    <row r="2" spans="1:2" x14ac:dyDescent="0.25">
      <c r="A2" s="5">
        <v>1</v>
      </c>
      <c r="B2" s="8">
        <v>145</v>
      </c>
    </row>
    <row r="3" spans="1:2" x14ac:dyDescent="0.25">
      <c r="A3" s="5">
        <v>2</v>
      </c>
      <c r="B3" s="8">
        <v>164</v>
      </c>
    </row>
    <row r="4" spans="1:2" x14ac:dyDescent="0.25">
      <c r="A4" s="5">
        <v>3</v>
      </c>
      <c r="B4" s="8">
        <v>178</v>
      </c>
    </row>
    <row r="5" spans="1:2" x14ac:dyDescent="0.25">
      <c r="A5" s="5">
        <v>4</v>
      </c>
      <c r="B5" s="8">
        <v>200</v>
      </c>
    </row>
    <row r="6" spans="1:2" x14ac:dyDescent="0.25">
      <c r="A6" s="5">
        <v>5</v>
      </c>
      <c r="B6" s="8">
        <v>215</v>
      </c>
    </row>
    <row r="7" spans="1:2" x14ac:dyDescent="0.25">
      <c r="A7" s="5">
        <v>6</v>
      </c>
      <c r="B7" s="8">
        <v>205</v>
      </c>
    </row>
    <row r="8" spans="1:2" x14ac:dyDescent="0.25">
      <c r="A8" s="5">
        <v>7</v>
      </c>
      <c r="B8" s="8">
        <v>170</v>
      </c>
    </row>
    <row r="9" spans="1:2" x14ac:dyDescent="0.25">
      <c r="A9" s="5">
        <v>8</v>
      </c>
      <c r="B9" s="8">
        <v>142</v>
      </c>
    </row>
    <row r="10" spans="1:2" x14ac:dyDescent="0.25">
      <c r="A10" s="5">
        <v>9</v>
      </c>
      <c r="B10" s="8">
        <v>119</v>
      </c>
    </row>
    <row r="11" spans="1:2" x14ac:dyDescent="0.25">
      <c r="A11" s="5">
        <v>10</v>
      </c>
      <c r="B11" s="8">
        <v>147</v>
      </c>
    </row>
    <row r="12" spans="1:2" x14ac:dyDescent="0.25">
      <c r="A12" s="5">
        <v>11</v>
      </c>
      <c r="B12" s="8">
        <v>162</v>
      </c>
    </row>
    <row r="13" spans="1:2" x14ac:dyDescent="0.25">
      <c r="A13" s="5">
        <v>12</v>
      </c>
      <c r="B13" s="8">
        <v>180</v>
      </c>
    </row>
    <row r="14" spans="1:2" x14ac:dyDescent="0.25">
      <c r="A14" s="5">
        <v>13</v>
      </c>
      <c r="B14" s="8">
        <v>199</v>
      </c>
    </row>
    <row r="15" spans="1:2" x14ac:dyDescent="0.25">
      <c r="A15" s="5">
        <v>14</v>
      </c>
      <c r="B15" s="8">
        <v>220</v>
      </c>
    </row>
    <row r="16" spans="1:2" x14ac:dyDescent="0.25">
      <c r="A16" s="5">
        <v>15</v>
      </c>
      <c r="B16" s="8">
        <v>208</v>
      </c>
    </row>
    <row r="17" spans="1:21" x14ac:dyDescent="0.25">
      <c r="A17" s="5">
        <v>16</v>
      </c>
      <c r="B17" s="8">
        <v>175</v>
      </c>
    </row>
    <row r="18" spans="1:21" ht="15.75" thickBot="1" x14ac:dyDescent="0.3">
      <c r="A18" s="5">
        <v>17</v>
      </c>
      <c r="B18" s="8">
        <v>140</v>
      </c>
    </row>
    <row r="19" spans="1:21" ht="15.75" thickBot="1" x14ac:dyDescent="0.3">
      <c r="A19" s="5">
        <v>18</v>
      </c>
      <c r="B19" s="8">
        <v>121</v>
      </c>
      <c r="D19" s="83" t="s">
        <v>45</v>
      </c>
      <c r="E19" s="84" t="s">
        <v>46</v>
      </c>
      <c r="F19" s="100" t="s">
        <v>48</v>
      </c>
    </row>
    <row r="20" spans="1:21" ht="15.75" thickBot="1" x14ac:dyDescent="0.3">
      <c r="A20" s="5">
        <v>19</v>
      </c>
      <c r="B20" s="8">
        <v>146</v>
      </c>
      <c r="D20" s="129">
        <v>0.4</v>
      </c>
      <c r="E20" s="130">
        <v>0.9</v>
      </c>
      <c r="F20" s="131">
        <v>0.9</v>
      </c>
    </row>
    <row r="21" spans="1:21" ht="15.75" thickBot="1" x14ac:dyDescent="0.3">
      <c r="A21" s="5">
        <v>20</v>
      </c>
      <c r="B21" s="8">
        <v>160</v>
      </c>
    </row>
    <row r="22" spans="1:21" ht="15.75" thickBot="1" x14ac:dyDescent="0.3">
      <c r="A22" s="312" t="s">
        <v>47</v>
      </c>
      <c r="B22" s="313"/>
      <c r="C22" s="313"/>
      <c r="D22" s="313"/>
      <c r="E22" s="313"/>
      <c r="F22" s="313"/>
      <c r="G22" s="313"/>
      <c r="H22" s="313"/>
      <c r="I22" s="313"/>
      <c r="J22" s="314"/>
      <c r="T22" s="31">
        <v>145</v>
      </c>
      <c r="U22" s="90"/>
    </row>
    <row r="23" spans="1:21" ht="15.75" thickBot="1" x14ac:dyDescent="0.3">
      <c r="A23" s="4" t="s">
        <v>0</v>
      </c>
      <c r="B23" s="4" t="s">
        <v>2</v>
      </c>
      <c r="C23" s="26" t="s">
        <v>45</v>
      </c>
      <c r="D23" s="4" t="s">
        <v>46</v>
      </c>
      <c r="E23" s="44" t="s">
        <v>48</v>
      </c>
      <c r="F23" s="23" t="s">
        <v>51</v>
      </c>
      <c r="G23" s="2" t="s">
        <v>50</v>
      </c>
      <c r="H23" s="2" t="s">
        <v>52</v>
      </c>
      <c r="I23" s="3" t="s">
        <v>42</v>
      </c>
      <c r="J23" s="4" t="s">
        <v>33</v>
      </c>
      <c r="Q23" s="58"/>
      <c r="T23" s="5">
        <v>164</v>
      </c>
      <c r="U23" s="8"/>
    </row>
    <row r="24" spans="1:21" x14ac:dyDescent="0.25">
      <c r="A24" s="31">
        <v>1</v>
      </c>
      <c r="B24" s="31">
        <v>145</v>
      </c>
      <c r="C24" s="37">
        <v>0.1</v>
      </c>
      <c r="D24" s="34">
        <v>0.1</v>
      </c>
      <c r="E24" s="34">
        <v>0.1</v>
      </c>
      <c r="F24" s="37"/>
      <c r="G24" s="34"/>
      <c r="H24" s="47">
        <f>B24/AVERAGE(B24:B32)</f>
        <v>0.84850455136540959</v>
      </c>
      <c r="I24" s="35"/>
      <c r="J24" s="41"/>
      <c r="K24" s="28"/>
      <c r="T24" s="5">
        <v>178</v>
      </c>
      <c r="U24" s="8"/>
    </row>
    <row r="25" spans="1:21" x14ac:dyDescent="0.25">
      <c r="A25" s="5">
        <v>2</v>
      </c>
      <c r="B25" s="5">
        <v>164</v>
      </c>
      <c r="C25" s="38">
        <v>0.2</v>
      </c>
      <c r="D25" s="36">
        <v>0.2</v>
      </c>
      <c r="E25" s="36">
        <v>0.2</v>
      </c>
      <c r="F25" s="38"/>
      <c r="G25" s="36"/>
      <c r="H25" s="48">
        <f t="shared" ref="H25:H32" si="0">B25/AVERAGE(B25:B33)</f>
        <v>0.95844155844155843</v>
      </c>
      <c r="I25" s="32"/>
      <c r="J25" s="42"/>
      <c r="T25" s="5">
        <v>200</v>
      </c>
      <c r="U25" s="8"/>
    </row>
    <row r="26" spans="1:21" x14ac:dyDescent="0.25">
      <c r="A26" s="5">
        <v>3</v>
      </c>
      <c r="B26" s="5">
        <v>178</v>
      </c>
      <c r="C26" s="38">
        <v>0.3</v>
      </c>
      <c r="D26" s="36">
        <v>0.3</v>
      </c>
      <c r="E26" s="36">
        <v>0.3</v>
      </c>
      <c r="F26" s="38"/>
      <c r="G26" s="36"/>
      <c r="H26" s="48">
        <f t="shared" si="0"/>
        <v>1.0416124837451235</v>
      </c>
      <c r="I26" s="32"/>
      <c r="J26" s="42"/>
      <c r="K26" s="29"/>
      <c r="T26" s="5">
        <v>215</v>
      </c>
      <c r="U26" s="8"/>
    </row>
    <row r="27" spans="1:21" x14ac:dyDescent="0.25">
      <c r="A27" s="5">
        <v>4</v>
      </c>
      <c r="B27" s="5">
        <v>200</v>
      </c>
      <c r="C27" s="38">
        <v>0.4</v>
      </c>
      <c r="D27" s="36">
        <v>0.4</v>
      </c>
      <c r="E27" s="36">
        <v>0.4</v>
      </c>
      <c r="F27" s="38"/>
      <c r="G27" s="36"/>
      <c r="H27" s="48">
        <f t="shared" si="0"/>
        <v>1.1688311688311688</v>
      </c>
      <c r="I27" s="32"/>
      <c r="J27" s="42"/>
      <c r="K27" s="29"/>
      <c r="T27" s="5">
        <v>205</v>
      </c>
      <c r="U27" s="8"/>
    </row>
    <row r="28" spans="1:21" x14ac:dyDescent="0.25">
      <c r="A28" s="5">
        <v>5</v>
      </c>
      <c r="B28" s="5">
        <v>215</v>
      </c>
      <c r="C28" s="38">
        <v>0.5</v>
      </c>
      <c r="D28" s="36">
        <v>0.5</v>
      </c>
      <c r="E28" s="36">
        <v>0.5</v>
      </c>
      <c r="F28" s="38"/>
      <c r="G28" s="36"/>
      <c r="H28" s="48">
        <f t="shared" si="0"/>
        <v>1.2573099415204678</v>
      </c>
      <c r="I28" s="32"/>
      <c r="J28" s="42"/>
      <c r="K28" s="29"/>
      <c r="T28" s="5">
        <v>170</v>
      </c>
      <c r="U28" s="8"/>
    </row>
    <row r="29" spans="1:21" x14ac:dyDescent="0.25">
      <c r="A29" s="5">
        <v>6</v>
      </c>
      <c r="B29" s="5">
        <v>205</v>
      </c>
      <c r="C29" s="38">
        <v>0.6</v>
      </c>
      <c r="D29" s="36">
        <v>0.6</v>
      </c>
      <c r="E29" s="36">
        <v>0.6</v>
      </c>
      <c r="F29" s="38"/>
      <c r="G29" s="36"/>
      <c r="H29" s="48">
        <f t="shared" si="0"/>
        <v>1.1949481865284974</v>
      </c>
      <c r="I29" s="32"/>
      <c r="J29" s="42"/>
      <c r="K29" s="29"/>
      <c r="T29" s="5">
        <v>142</v>
      </c>
      <c r="U29" s="8"/>
    </row>
    <row r="30" spans="1:21" ht="15.75" thickBot="1" x14ac:dyDescent="0.3">
      <c r="A30" s="5">
        <v>7</v>
      </c>
      <c r="B30" s="5">
        <v>170</v>
      </c>
      <c r="C30" s="38">
        <v>0.7</v>
      </c>
      <c r="D30" s="36">
        <v>0.7</v>
      </c>
      <c r="E30" s="36">
        <v>0.7</v>
      </c>
      <c r="F30" s="38"/>
      <c r="G30" s="36"/>
      <c r="H30" s="48">
        <f t="shared" si="0"/>
        <v>0.98901098901098905</v>
      </c>
      <c r="I30" s="32"/>
      <c r="J30" s="42"/>
      <c r="K30" s="29"/>
      <c r="N30" s="29"/>
      <c r="T30" s="6">
        <v>119</v>
      </c>
      <c r="U30" s="8"/>
    </row>
    <row r="31" spans="1:21" x14ac:dyDescent="0.25">
      <c r="A31" s="5">
        <v>8</v>
      </c>
      <c r="B31" s="5">
        <v>142</v>
      </c>
      <c r="C31" s="38">
        <v>0.8</v>
      </c>
      <c r="D31" s="36">
        <v>0.8</v>
      </c>
      <c r="E31" s="36">
        <v>0.8</v>
      </c>
      <c r="F31" s="38"/>
      <c r="G31" s="36"/>
      <c r="H31" s="48">
        <f t="shared" si="0"/>
        <v>0.82345360824742264</v>
      </c>
      <c r="I31" s="32"/>
      <c r="J31" s="42"/>
      <c r="K31" s="29"/>
      <c r="N31" s="29"/>
      <c r="T31" s="31">
        <v>147</v>
      </c>
      <c r="U31" s="31">
        <v>144.21146494324236</v>
      </c>
    </row>
    <row r="32" spans="1:21" ht="15.75" thickBot="1" x14ac:dyDescent="0.3">
      <c r="A32" s="6">
        <v>9</v>
      </c>
      <c r="B32" s="6">
        <v>119</v>
      </c>
      <c r="C32" s="39">
        <v>0.9</v>
      </c>
      <c r="D32" s="40">
        <v>0.9</v>
      </c>
      <c r="E32" s="40">
        <v>0.9</v>
      </c>
      <c r="F32" s="39">
        <f>AVERAGE(B24:B32)</f>
        <v>170.88888888888889</v>
      </c>
      <c r="G32" s="40">
        <f>SLOPE(B24:B43,A24:A43)</f>
        <v>-0.92932330827067666</v>
      </c>
      <c r="H32" s="49">
        <f t="shared" si="0"/>
        <v>0.69096774193548383</v>
      </c>
      <c r="I32" s="33"/>
      <c r="J32" s="43"/>
      <c r="K32" s="29"/>
      <c r="N32" s="29"/>
      <c r="T32" s="5">
        <v>162</v>
      </c>
      <c r="U32" s="5">
        <v>164.39948213031457</v>
      </c>
    </row>
    <row r="33" spans="1:21" x14ac:dyDescent="0.25">
      <c r="A33" s="5">
        <v>10</v>
      </c>
      <c r="B33" s="31">
        <v>147</v>
      </c>
      <c r="C33" s="37"/>
      <c r="D33" s="34"/>
      <c r="E33" s="34"/>
      <c r="F33" s="37">
        <f>($D$20*(B33/H24))+((1-$D$20)*(F32+G32))</f>
        <v>171.27413015296861</v>
      </c>
      <c r="G33" s="34">
        <f>(($E$20*(F33-F32))+((1-$E$20)*G32))</f>
        <v>0.25378480684468402</v>
      </c>
      <c r="H33" s="34">
        <f>($F$20*(B33/F33))+((1-$F$20)*H24)</f>
        <v>0.85729635739767063</v>
      </c>
      <c r="I33" s="35">
        <f>(F32+1*G32)*H24</f>
        <v>144.21146494324236</v>
      </c>
      <c r="J33" s="41">
        <f>ABS(B33-I33)</f>
        <v>2.7885350567576381</v>
      </c>
      <c r="N33" s="29"/>
      <c r="T33" s="5">
        <v>180</v>
      </c>
      <c r="U33" s="5">
        <v>176.94810898184025</v>
      </c>
    </row>
    <row r="34" spans="1:21" x14ac:dyDescent="0.25">
      <c r="A34" s="5">
        <v>11</v>
      </c>
      <c r="B34" s="5">
        <v>162</v>
      </c>
      <c r="C34" s="38"/>
      <c r="D34" s="36"/>
      <c r="E34" s="36"/>
      <c r="F34" s="38">
        <f t="shared" ref="F34:F43" si="1">($D$20*(B34/H25))+((1-$D$20)*(F33+G33))</f>
        <v>170.52650507344896</v>
      </c>
      <c r="G34" s="36">
        <f t="shared" ref="G34:G43" si="2">(($E$20*(F34-F33))+((1-$E$20)*G33))</f>
        <v>-0.64748409088321723</v>
      </c>
      <c r="H34" s="36">
        <f t="shared" ref="H34:H40" si="3">($F$20*(B34/F34))+((1-$F$20)*H25)</f>
        <v>0.9508432067963889</v>
      </c>
      <c r="I34" s="32">
        <f t="shared" ref="I34:I43" si="4">(F33+1*G33)*H25</f>
        <v>164.39948213031457</v>
      </c>
      <c r="J34" s="42">
        <f t="shared" ref="J34:J43" si="5">ABS(B34-I34)</f>
        <v>2.399482130314567</v>
      </c>
      <c r="T34" s="5">
        <v>199</v>
      </c>
      <c r="U34" s="5">
        <v>200.40581969486504</v>
      </c>
    </row>
    <row r="35" spans="1:21" ht="15.75" thickBot="1" x14ac:dyDescent="0.3">
      <c r="A35" s="5">
        <v>12</v>
      </c>
      <c r="B35" s="5">
        <v>180</v>
      </c>
      <c r="C35" s="38"/>
      <c r="D35" s="36"/>
      <c r="E35" s="36"/>
      <c r="F35" s="38">
        <f t="shared" si="1"/>
        <v>171.05100809515744</v>
      </c>
      <c r="G35" s="36">
        <f t="shared" si="2"/>
        <v>0.4073043104493132</v>
      </c>
      <c r="H35" s="36">
        <f t="shared" si="3"/>
        <v>1.0512471603726325</v>
      </c>
      <c r="I35" s="32">
        <f t="shared" si="4"/>
        <v>176.94810898184025</v>
      </c>
      <c r="J35" s="42">
        <f t="shared" si="5"/>
        <v>3.0518910181597505</v>
      </c>
      <c r="N35" s="59"/>
      <c r="T35" s="5">
        <v>220</v>
      </c>
      <c r="U35" s="5">
        <v>214.93904751259464</v>
      </c>
    </row>
    <row r="36" spans="1:21" x14ac:dyDescent="0.25">
      <c r="A36" s="5">
        <v>13</v>
      </c>
      <c r="B36" s="5">
        <v>199</v>
      </c>
      <c r="C36" s="38"/>
      <c r="D36" s="36"/>
      <c r="E36" s="36"/>
      <c r="F36" s="38">
        <f t="shared" si="1"/>
        <v>170.97720966558626</v>
      </c>
      <c r="G36" s="36">
        <f t="shared" si="2"/>
        <v>-2.5688155569134279E-2</v>
      </c>
      <c r="H36" s="36">
        <f t="shared" si="3"/>
        <v>1.1643911464637906</v>
      </c>
      <c r="I36" s="32">
        <f t="shared" si="4"/>
        <v>200.40581969486504</v>
      </c>
      <c r="J36" s="42">
        <f t="shared" si="5"/>
        <v>1.4058196948650448</v>
      </c>
      <c r="L36" s="73" t="s">
        <v>50</v>
      </c>
      <c r="M36" s="74">
        <f>G43</f>
        <v>-2.6535987730498838</v>
      </c>
      <c r="T36" s="5">
        <v>208</v>
      </c>
      <c r="U36" s="5">
        <v>207.9030633259618</v>
      </c>
    </row>
    <row r="37" spans="1:21" ht="15.75" thickBot="1" x14ac:dyDescent="0.3">
      <c r="A37" s="5">
        <v>14</v>
      </c>
      <c r="B37" s="5">
        <v>220</v>
      </c>
      <c r="C37" s="38"/>
      <c r="D37" s="36"/>
      <c r="E37" s="36"/>
      <c r="F37" s="38">
        <f t="shared" si="1"/>
        <v>172.56161058042889</v>
      </c>
      <c r="G37" s="36">
        <f t="shared" si="2"/>
        <v>1.4233920078014557</v>
      </c>
      <c r="H37" s="36">
        <f t="shared" si="3"/>
        <v>1.2731472667169961</v>
      </c>
      <c r="I37" s="32">
        <f t="shared" si="4"/>
        <v>214.93904751259464</v>
      </c>
      <c r="J37" s="42">
        <f t="shared" si="5"/>
        <v>5.0609524874053591</v>
      </c>
      <c r="L37" s="75" t="s">
        <v>51</v>
      </c>
      <c r="M37" s="76">
        <f>F43</f>
        <v>169.72522589794903</v>
      </c>
      <c r="T37" s="5">
        <v>175</v>
      </c>
      <c r="U37" s="5">
        <v>173.54180509271623</v>
      </c>
    </row>
    <row r="38" spans="1:21" ht="15.75" thickBot="1" x14ac:dyDescent="0.3">
      <c r="A38" s="5">
        <v>15</v>
      </c>
      <c r="B38" s="5">
        <v>208</v>
      </c>
      <c r="C38" s="38"/>
      <c r="D38" s="36"/>
      <c r="E38" s="36"/>
      <c r="F38" s="38">
        <f t="shared" si="1"/>
        <v>174.01745141743686</v>
      </c>
      <c r="G38" s="36">
        <f t="shared" si="2"/>
        <v>1.4525959540873177</v>
      </c>
      <c r="H38" s="36">
        <f t="shared" si="3"/>
        <v>1.1952489943127413</v>
      </c>
      <c r="I38" s="32">
        <f t="shared" si="4"/>
        <v>207.9030633259618</v>
      </c>
      <c r="J38" s="42">
        <f t="shared" si="5"/>
        <v>9.6936674038204274E-2</v>
      </c>
      <c r="T38" s="5">
        <v>140</v>
      </c>
      <c r="U38" s="5">
        <v>146.61030319530764</v>
      </c>
    </row>
    <row r="39" spans="1:21" ht="15.75" thickBot="1" x14ac:dyDescent="0.3">
      <c r="A39" s="5">
        <v>16</v>
      </c>
      <c r="B39" s="5">
        <v>175</v>
      </c>
      <c r="C39" s="38"/>
      <c r="D39" s="36"/>
      <c r="E39" s="36"/>
      <c r="F39" s="38">
        <f t="shared" si="1"/>
        <v>176.05980620069226</v>
      </c>
      <c r="G39" s="36">
        <f t="shared" si="2"/>
        <v>1.9833789003385962</v>
      </c>
      <c r="H39" s="36">
        <f t="shared" si="3"/>
        <v>0.99348347632609868</v>
      </c>
      <c r="I39" s="32">
        <f t="shared" si="4"/>
        <v>173.54180509271623</v>
      </c>
      <c r="J39" s="42">
        <f t="shared" si="5"/>
        <v>1.4581949072837688</v>
      </c>
      <c r="L39" s="70" t="s">
        <v>55</v>
      </c>
      <c r="M39" s="71" t="s">
        <v>54</v>
      </c>
      <c r="N39" s="72" t="s">
        <v>42</v>
      </c>
      <c r="T39" s="6">
        <v>121</v>
      </c>
      <c r="U39" s="6">
        <v>120.17700459922621</v>
      </c>
    </row>
    <row r="40" spans="1:21" x14ac:dyDescent="0.25">
      <c r="A40" s="5">
        <v>17</v>
      </c>
      <c r="B40" s="5">
        <v>140</v>
      </c>
      <c r="C40" s="38"/>
      <c r="D40" s="36"/>
      <c r="E40" s="36"/>
      <c r="F40" s="38">
        <f t="shared" si="1"/>
        <v>174.83217084152619</v>
      </c>
      <c r="G40" s="36">
        <f t="shared" si="2"/>
        <v>-0.90653393321560538</v>
      </c>
      <c r="H40" s="36">
        <f t="shared" si="3"/>
        <v>0.8030365207727056</v>
      </c>
      <c r="I40" s="32">
        <f t="shared" si="4"/>
        <v>146.61030319530764</v>
      </c>
      <c r="J40" s="42">
        <f t="shared" si="5"/>
        <v>6.6103031953076368</v>
      </c>
      <c r="L40" s="67">
        <v>21</v>
      </c>
      <c r="M40" s="68">
        <v>1</v>
      </c>
      <c r="N40" s="69">
        <f>($M$37+M40*$M$36)*H35</f>
        <v>175.63357359388553</v>
      </c>
      <c r="T40" s="5">
        <v>146</v>
      </c>
      <c r="U40" s="5">
        <v>149.1046869181497</v>
      </c>
    </row>
    <row r="41" spans="1:21" ht="15.75" thickBot="1" x14ac:dyDescent="0.3">
      <c r="A41" s="5">
        <v>18</v>
      </c>
      <c r="B41" s="6">
        <v>121</v>
      </c>
      <c r="C41" s="39"/>
      <c r="D41" s="40"/>
      <c r="E41" s="40"/>
      <c r="F41" s="39">
        <f t="shared" si="1"/>
        <v>174.40206748578936</v>
      </c>
      <c r="G41" s="40">
        <f t="shared" si="2"/>
        <v>-0.47774641348471003</v>
      </c>
      <c r="H41" s="40">
        <f>($F$20*(B41/F41))+((1-$F$20)*H32)</f>
        <v>0.69351597730232695</v>
      </c>
      <c r="I41" s="33">
        <f t="shared" si="4"/>
        <v>120.17700459922621</v>
      </c>
      <c r="J41" s="43">
        <f t="shared" si="5"/>
        <v>0.82299540077379163</v>
      </c>
      <c r="L41" s="62">
        <v>22</v>
      </c>
      <c r="M41" s="57">
        <v>2</v>
      </c>
      <c r="N41" s="63">
        <f>($M$37+M41*$M$36)*H36</f>
        <v>191.4468965319258</v>
      </c>
      <c r="T41" s="5">
        <v>160</v>
      </c>
      <c r="U41" s="5">
        <v>162.30346344507896</v>
      </c>
    </row>
    <row r="42" spans="1:21" x14ac:dyDescent="0.25">
      <c r="A42" s="31">
        <v>19</v>
      </c>
      <c r="B42" s="8">
        <v>146</v>
      </c>
      <c r="C42" s="38"/>
      <c r="D42" s="36"/>
      <c r="E42" s="36"/>
      <c r="F42" s="38">
        <f t="shared" si="1"/>
        <v>172.47572659672608</v>
      </c>
      <c r="G42" s="36">
        <f t="shared" si="2"/>
        <v>-1.7814814415054259</v>
      </c>
      <c r="H42" s="36">
        <f>($F$20*(B42/F42))+((1-$F$20)*H33)</f>
        <v>0.84757596967191939</v>
      </c>
      <c r="I42" s="32">
        <f t="shared" si="4"/>
        <v>149.1046869181497</v>
      </c>
      <c r="J42" s="42">
        <f t="shared" si="5"/>
        <v>3.1046869181496959</v>
      </c>
      <c r="L42" s="62">
        <v>23</v>
      </c>
      <c r="M42" s="57">
        <v>3</v>
      </c>
      <c r="N42" s="63">
        <f>($M$37+M42*$M$36)*H37</f>
        <v>205.9499413702824</v>
      </c>
      <c r="T42" s="5"/>
      <c r="U42" s="5">
        <v>175.63357359388553</v>
      </c>
    </row>
    <row r="43" spans="1:21" ht="15.75" thickBot="1" x14ac:dyDescent="0.3">
      <c r="A43" s="6">
        <v>20</v>
      </c>
      <c r="B43" s="8">
        <v>160</v>
      </c>
      <c r="C43" s="39"/>
      <c r="D43" s="40"/>
      <c r="E43" s="40"/>
      <c r="F43" s="39">
        <f t="shared" si="1"/>
        <v>169.72522589794903</v>
      </c>
      <c r="G43" s="40">
        <f t="shared" si="2"/>
        <v>-2.6535987730498838</v>
      </c>
      <c r="H43" s="40">
        <f>($F$20*(B43/F43))+((1-$F$20)*H34)</f>
        <v>0.94351447735289096</v>
      </c>
      <c r="I43" s="33">
        <f t="shared" si="4"/>
        <v>162.30346344507896</v>
      </c>
      <c r="J43" s="42">
        <f t="shared" si="5"/>
        <v>2.3034634450789611</v>
      </c>
      <c r="L43" s="62">
        <v>24</v>
      </c>
      <c r="M43" s="57">
        <v>4</v>
      </c>
      <c r="N43" s="63">
        <f>($M$37+M43*$M$36)*H38</f>
        <v>190.17706050483682</v>
      </c>
      <c r="T43" s="5"/>
      <c r="U43" s="5">
        <v>191.4468965319258</v>
      </c>
    </row>
    <row r="44" spans="1:21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8"/>
      <c r="I44" s="78"/>
      <c r="J44" s="79">
        <f>AVERAGE(J33:J43)</f>
        <v>2.6457509934667653</v>
      </c>
      <c r="L44" s="64">
        <v>25</v>
      </c>
      <c r="M44" s="65">
        <v>5</v>
      </c>
      <c r="N44" s="66">
        <f>($M$37+M44*$M$36)*H39</f>
        <v>155.43767477620545</v>
      </c>
      <c r="T44" s="5"/>
      <c r="U44" s="5">
        <v>205.9499413702824</v>
      </c>
    </row>
    <row r="45" spans="1:21" x14ac:dyDescent="0.25">
      <c r="K45" s="15"/>
      <c r="T45" s="5"/>
      <c r="U45" s="5">
        <v>190.17706050483682</v>
      </c>
    </row>
    <row r="46" spans="1:21" ht="15.75" thickBot="1" x14ac:dyDescent="0.3">
      <c r="K46" s="15"/>
      <c r="T46" s="6"/>
      <c r="U46" s="6">
        <v>155.43767477620545</v>
      </c>
    </row>
    <row r="47" spans="1:21" ht="15.75" thickBot="1" x14ac:dyDescent="0.3">
      <c r="A47" s="312" t="s">
        <v>53</v>
      </c>
      <c r="B47" s="313"/>
      <c r="C47" s="313"/>
      <c r="D47" s="313"/>
      <c r="E47" s="314"/>
    </row>
    <row r="48" spans="1:21" ht="15.75" thickBot="1" x14ac:dyDescent="0.3">
      <c r="A48" s="26" t="s">
        <v>45</v>
      </c>
      <c r="B48" s="4" t="s">
        <v>46</v>
      </c>
      <c r="C48" s="30" t="s">
        <v>48</v>
      </c>
      <c r="D48" s="50" t="s">
        <v>6</v>
      </c>
      <c r="E48" s="4" t="s">
        <v>6</v>
      </c>
    </row>
    <row r="49" spans="1:5" x14ac:dyDescent="0.25">
      <c r="A49" s="11">
        <v>0.1</v>
      </c>
      <c r="B49" s="11">
        <v>0.1</v>
      </c>
      <c r="C49" s="7">
        <v>0.1</v>
      </c>
      <c r="D49" s="42">
        <v>4.406587393676082</v>
      </c>
      <c r="E49" s="42">
        <f>MIN(D49:D777)</f>
        <v>2.6457509934667653</v>
      </c>
    </row>
    <row r="50" spans="1:5" x14ac:dyDescent="0.25">
      <c r="A50" s="11">
        <v>0.1</v>
      </c>
      <c r="B50" s="11">
        <v>0.1</v>
      </c>
      <c r="C50" s="7">
        <v>0.2</v>
      </c>
      <c r="D50" s="42">
        <v>4.3784221786948203</v>
      </c>
      <c r="E50" s="42"/>
    </row>
    <row r="51" spans="1:5" x14ac:dyDescent="0.25">
      <c r="A51" s="11">
        <v>0.1</v>
      </c>
      <c r="B51" s="11">
        <v>0.1</v>
      </c>
      <c r="C51" s="7">
        <v>0.3</v>
      </c>
      <c r="D51" s="42">
        <v>4.3502679183216948</v>
      </c>
      <c r="E51" s="42"/>
    </row>
    <row r="52" spans="1:5" x14ac:dyDescent="0.25">
      <c r="A52" s="11">
        <v>0.1</v>
      </c>
      <c r="B52" s="11">
        <v>0.1</v>
      </c>
      <c r="C52" s="7">
        <v>0.4</v>
      </c>
      <c r="D52" s="42">
        <v>4.3221245558687116</v>
      </c>
      <c r="E52" s="42"/>
    </row>
    <row r="53" spans="1:5" x14ac:dyDescent="0.25">
      <c r="A53" s="11">
        <v>0.1</v>
      </c>
      <c r="B53" s="11">
        <v>0.1</v>
      </c>
      <c r="C53" s="7">
        <v>0.5</v>
      </c>
      <c r="D53" s="42">
        <v>4.2939920350383423</v>
      </c>
      <c r="E53" s="42"/>
    </row>
    <row r="54" spans="1:5" x14ac:dyDescent="0.25">
      <c r="A54" s="11">
        <v>0.1</v>
      </c>
      <c r="B54" s="11">
        <v>0.1</v>
      </c>
      <c r="C54" s="7">
        <v>0.6</v>
      </c>
      <c r="D54" s="42">
        <v>4.2658702999201532</v>
      </c>
      <c r="E54" s="42"/>
    </row>
    <row r="55" spans="1:5" x14ac:dyDescent="0.25">
      <c r="A55" s="11">
        <v>0.1</v>
      </c>
      <c r="B55" s="11">
        <v>0.1</v>
      </c>
      <c r="C55" s="7">
        <v>0.7</v>
      </c>
      <c r="D55" s="42">
        <v>4.2377592949875007</v>
      </c>
      <c r="E55" s="42"/>
    </row>
    <row r="56" spans="1:5" x14ac:dyDescent="0.25">
      <c r="A56" s="11">
        <v>0.1</v>
      </c>
      <c r="B56" s="11">
        <v>0.1</v>
      </c>
      <c r="C56" s="7">
        <v>0.8</v>
      </c>
      <c r="D56" s="42">
        <v>4.2096589650942287</v>
      </c>
      <c r="E56" s="42"/>
    </row>
    <row r="57" spans="1:5" x14ac:dyDescent="0.25">
      <c r="A57" s="11">
        <v>0.1</v>
      </c>
      <c r="B57" s="11">
        <v>0.1</v>
      </c>
      <c r="C57" s="7">
        <v>0.9</v>
      </c>
      <c r="D57" s="42">
        <v>4.1815692554714268</v>
      </c>
      <c r="E57" s="42"/>
    </row>
    <row r="58" spans="1:5" x14ac:dyDescent="0.25">
      <c r="A58" s="11">
        <v>0.1</v>
      </c>
      <c r="B58" s="11">
        <v>0.2</v>
      </c>
      <c r="C58" s="7">
        <v>0.1</v>
      </c>
      <c r="D58" s="42">
        <v>4.194741261520269</v>
      </c>
      <c r="E58" s="42"/>
    </row>
    <row r="59" spans="1:5" x14ac:dyDescent="0.25">
      <c r="A59" s="11">
        <v>0.1</v>
      </c>
      <c r="B59" s="11">
        <v>0.2</v>
      </c>
      <c r="C59" s="7">
        <v>0.2</v>
      </c>
      <c r="D59" s="42">
        <v>4.1658614199950446</v>
      </c>
      <c r="E59" s="42"/>
    </row>
    <row r="60" spans="1:5" x14ac:dyDescent="0.25">
      <c r="A60" s="11">
        <v>0.1</v>
      </c>
      <c r="B60" s="11">
        <v>0.2</v>
      </c>
      <c r="C60" s="7">
        <v>0.3</v>
      </c>
      <c r="D60" s="42">
        <v>4.1369936367437301</v>
      </c>
      <c r="E60" s="42"/>
    </row>
    <row r="61" spans="1:5" x14ac:dyDescent="0.25">
      <c r="A61" s="11">
        <v>0.1</v>
      </c>
      <c r="B61" s="11">
        <v>0.2</v>
      </c>
      <c r="C61" s="7">
        <v>0.4</v>
      </c>
      <c r="D61" s="42">
        <v>4.1081378493670675</v>
      </c>
      <c r="E61" s="42"/>
    </row>
    <row r="62" spans="1:5" x14ac:dyDescent="0.25">
      <c r="A62" s="11">
        <v>0.1</v>
      </c>
      <c r="B62" s="11">
        <v>0.2</v>
      </c>
      <c r="C62" s="7">
        <v>0.5</v>
      </c>
      <c r="D62" s="42">
        <v>4.0792939958956111</v>
      </c>
      <c r="E62" s="42"/>
    </row>
    <row r="63" spans="1:5" x14ac:dyDescent="0.25">
      <c r="A63" s="11">
        <v>0.1</v>
      </c>
      <c r="B63" s="11">
        <v>0.2</v>
      </c>
      <c r="C63" s="7">
        <v>0.6</v>
      </c>
      <c r="D63" s="42">
        <v>4.0504620147860075</v>
      </c>
      <c r="E63" s="42"/>
    </row>
    <row r="64" spans="1:5" x14ac:dyDescent="0.25">
      <c r="A64" s="11">
        <v>0.1</v>
      </c>
      <c r="B64" s="11">
        <v>0.2</v>
      </c>
      <c r="C64" s="7">
        <v>0.7</v>
      </c>
      <c r="D64" s="42">
        <v>4.0216418449173537</v>
      </c>
      <c r="E64" s="42"/>
    </row>
    <row r="65" spans="1:5" x14ac:dyDescent="0.25">
      <c r="A65" s="11">
        <v>0.1</v>
      </c>
      <c r="B65" s="11">
        <v>0.2</v>
      </c>
      <c r="C65" s="7">
        <v>0.8</v>
      </c>
      <c r="D65" s="42">
        <v>3.9928334255875808</v>
      </c>
      <c r="E65" s="42"/>
    </row>
    <row r="66" spans="1:5" x14ac:dyDescent="0.25">
      <c r="A66" s="11">
        <v>0.1</v>
      </c>
      <c r="B66" s="11">
        <v>0.2</v>
      </c>
      <c r="C66" s="7">
        <v>0.9</v>
      </c>
      <c r="D66" s="42">
        <v>3.964036696509865</v>
      </c>
      <c r="E66" s="42"/>
    </row>
    <row r="67" spans="1:5" x14ac:dyDescent="0.25">
      <c r="A67" s="11">
        <v>0.1</v>
      </c>
      <c r="B67" s="11">
        <v>0.3</v>
      </c>
      <c r="C67" s="7">
        <v>0.1</v>
      </c>
      <c r="D67" s="42">
        <v>3.9896609059699633</v>
      </c>
      <c r="E67" s="42"/>
    </row>
    <row r="68" spans="1:5" x14ac:dyDescent="0.25">
      <c r="A68" s="11">
        <v>0.1</v>
      </c>
      <c r="B68" s="11">
        <v>0.3</v>
      </c>
      <c r="C68" s="7">
        <v>0.2</v>
      </c>
      <c r="D68" s="42">
        <v>3.9600832539261783</v>
      </c>
      <c r="E68" s="42"/>
    </row>
    <row r="69" spans="1:5" x14ac:dyDescent="0.25">
      <c r="A69" s="11">
        <v>0.1</v>
      </c>
      <c r="B69" s="11">
        <v>0.3</v>
      </c>
      <c r="C69" s="7">
        <v>0.3</v>
      </c>
      <c r="D69" s="42">
        <v>3.9305187817466778</v>
      </c>
      <c r="E69" s="42"/>
    </row>
    <row r="70" spans="1:5" x14ac:dyDescent="0.25">
      <c r="A70" s="11">
        <v>0.1</v>
      </c>
      <c r="B70" s="11">
        <v>0.3</v>
      </c>
      <c r="C70" s="7">
        <v>0.4</v>
      </c>
      <c r="D70" s="42">
        <v>3.900967421228192</v>
      </c>
      <c r="E70" s="42"/>
    </row>
    <row r="71" spans="1:5" x14ac:dyDescent="0.25">
      <c r="A71" s="11">
        <v>0.1</v>
      </c>
      <c r="B71" s="11">
        <v>0.3</v>
      </c>
      <c r="C71" s="7">
        <v>0.5</v>
      </c>
      <c r="D71" s="42">
        <v>3.8714291046372362</v>
      </c>
      <c r="E71" s="42"/>
    </row>
    <row r="72" spans="1:5" x14ac:dyDescent="0.25">
      <c r="A72" s="11">
        <v>0.1</v>
      </c>
      <c r="B72" s="11">
        <v>0.3</v>
      </c>
      <c r="C72" s="7">
        <v>0.6</v>
      </c>
      <c r="D72" s="42">
        <v>3.8419037647060579</v>
      </c>
      <c r="E72" s="42"/>
    </row>
    <row r="73" spans="1:5" x14ac:dyDescent="0.25">
      <c r="A73" s="11">
        <v>0.1</v>
      </c>
      <c r="B73" s="11">
        <v>0.3</v>
      </c>
      <c r="C73" s="7">
        <v>0.7</v>
      </c>
      <c r="D73" s="42">
        <v>3.8314302354695529</v>
      </c>
      <c r="E73" s="42"/>
    </row>
    <row r="74" spans="1:5" x14ac:dyDescent="0.25">
      <c r="A74" s="11">
        <v>0.1</v>
      </c>
      <c r="B74" s="11">
        <v>0.3</v>
      </c>
      <c r="C74" s="7">
        <v>0.8</v>
      </c>
      <c r="D74" s="42">
        <v>3.8475167980599991</v>
      </c>
      <c r="E74" s="42"/>
    </row>
    <row r="75" spans="1:5" x14ac:dyDescent="0.25">
      <c r="A75" s="11">
        <v>0.1</v>
      </c>
      <c r="B75" s="11">
        <v>0.3</v>
      </c>
      <c r="C75" s="7">
        <v>0.9</v>
      </c>
      <c r="D75" s="42">
        <v>3.8636161382616363</v>
      </c>
      <c r="E75" s="42"/>
    </row>
    <row r="76" spans="1:5" x14ac:dyDescent="0.25">
      <c r="A76" s="11">
        <v>0.1</v>
      </c>
      <c r="B76" s="11">
        <v>0.4</v>
      </c>
      <c r="C76" s="7">
        <v>0.1</v>
      </c>
      <c r="D76" s="42">
        <v>3.7914767013373489</v>
      </c>
      <c r="E76" s="42"/>
    </row>
    <row r="77" spans="1:5" x14ac:dyDescent="0.25">
      <c r="A77" s="11">
        <v>0.1</v>
      </c>
      <c r="B77" s="11">
        <v>0.4</v>
      </c>
      <c r="C77" s="7">
        <v>0.2</v>
      </c>
      <c r="D77" s="42">
        <v>3.7612173068303734</v>
      </c>
      <c r="E77" s="42"/>
    </row>
    <row r="78" spans="1:5" x14ac:dyDescent="0.25">
      <c r="A78" s="11">
        <v>0.1</v>
      </c>
      <c r="B78" s="11">
        <v>0.4</v>
      </c>
      <c r="C78" s="7">
        <v>0.3</v>
      </c>
      <c r="D78" s="42">
        <v>3.7309722316932796</v>
      </c>
      <c r="E78" s="42"/>
    </row>
    <row r="79" spans="1:5" x14ac:dyDescent="0.25">
      <c r="A79" s="11">
        <v>0.1</v>
      </c>
      <c r="B79" s="11">
        <v>0.4</v>
      </c>
      <c r="C79" s="7">
        <v>0.4</v>
      </c>
      <c r="D79" s="42">
        <v>3.7441025497447735</v>
      </c>
      <c r="E79" s="42"/>
    </row>
    <row r="80" spans="1:5" x14ac:dyDescent="0.25">
      <c r="A80" s="11">
        <v>0.1</v>
      </c>
      <c r="B80" s="11">
        <v>0.4</v>
      </c>
      <c r="C80" s="7">
        <v>0.5</v>
      </c>
      <c r="D80" s="42">
        <v>3.7597498945949197</v>
      </c>
      <c r="E80" s="42"/>
    </row>
    <row r="81" spans="1:5" x14ac:dyDescent="0.25">
      <c r="A81" s="11">
        <v>0.1</v>
      </c>
      <c r="B81" s="11">
        <v>0.4</v>
      </c>
      <c r="C81" s="7">
        <v>0.6</v>
      </c>
      <c r="D81" s="42">
        <v>3.7754113380417751</v>
      </c>
      <c r="E81" s="42"/>
    </row>
    <row r="82" spans="1:5" x14ac:dyDescent="0.25">
      <c r="A82" s="11">
        <v>0.1</v>
      </c>
      <c r="B82" s="11">
        <v>0.4</v>
      </c>
      <c r="C82" s="7">
        <v>0.7</v>
      </c>
      <c r="D82" s="42">
        <v>3.7910868075034019</v>
      </c>
      <c r="E82" s="42"/>
    </row>
    <row r="83" spans="1:5" x14ac:dyDescent="0.25">
      <c r="A83" s="11">
        <v>0.1</v>
      </c>
      <c r="B83" s="11">
        <v>0.4</v>
      </c>
      <c r="C83" s="7">
        <v>0.8</v>
      </c>
      <c r="D83" s="42">
        <v>3.8067762308952449</v>
      </c>
      <c r="E83" s="42"/>
    </row>
    <row r="84" spans="1:5" x14ac:dyDescent="0.25">
      <c r="A84" s="11">
        <v>0.1</v>
      </c>
      <c r="B84" s="11">
        <v>0.4</v>
      </c>
      <c r="C84" s="7">
        <v>0.9</v>
      </c>
      <c r="D84" s="42">
        <v>3.8224795366258544</v>
      </c>
      <c r="E84" s="42"/>
    </row>
    <row r="85" spans="1:5" x14ac:dyDescent="0.25">
      <c r="A85" s="11">
        <v>0.1</v>
      </c>
      <c r="B85" s="11">
        <v>0.5</v>
      </c>
      <c r="C85" s="7">
        <v>0.1</v>
      </c>
      <c r="D85" s="42">
        <v>3.7374067535238775</v>
      </c>
      <c r="E85" s="42"/>
    </row>
    <row r="86" spans="1:5" x14ac:dyDescent="0.25">
      <c r="A86" s="11">
        <v>0.1</v>
      </c>
      <c r="B86" s="11">
        <v>0.5</v>
      </c>
      <c r="C86" s="7">
        <v>0.2</v>
      </c>
      <c r="D86" s="42">
        <v>3.7525927784305706</v>
      </c>
      <c r="E86" s="42"/>
    </row>
    <row r="87" spans="1:5" x14ac:dyDescent="0.25">
      <c r="A87" s="11">
        <v>0.1</v>
      </c>
      <c r="B87" s="11">
        <v>0.5</v>
      </c>
      <c r="C87" s="7">
        <v>0.3</v>
      </c>
      <c r="D87" s="42">
        <v>3.767794280118582</v>
      </c>
      <c r="E87" s="42"/>
    </row>
    <row r="88" spans="1:5" x14ac:dyDescent="0.25">
      <c r="A88" s="11">
        <v>0.1</v>
      </c>
      <c r="B88" s="11">
        <v>0.5</v>
      </c>
      <c r="C88" s="7">
        <v>0.4</v>
      </c>
      <c r="D88" s="42">
        <v>3.7830111784985494</v>
      </c>
      <c r="E88" s="42"/>
    </row>
    <row r="89" spans="1:5" x14ac:dyDescent="0.25">
      <c r="A89" s="11">
        <v>0.1</v>
      </c>
      <c r="B89" s="11">
        <v>0.5</v>
      </c>
      <c r="C89" s="7">
        <v>0.5</v>
      </c>
      <c r="D89" s="42">
        <v>3.7982433940327458</v>
      </c>
      <c r="E89" s="42"/>
    </row>
    <row r="90" spans="1:5" x14ac:dyDescent="0.25">
      <c r="A90" s="11">
        <v>0.1</v>
      </c>
      <c r="B90" s="11">
        <v>0.5</v>
      </c>
      <c r="C90" s="7">
        <v>0.6</v>
      </c>
      <c r="D90" s="42">
        <v>3.8134908477303551</v>
      </c>
      <c r="E90" s="42"/>
    </row>
    <row r="91" spans="1:5" x14ac:dyDescent="0.25">
      <c r="A91" s="11">
        <v>0.1</v>
      </c>
      <c r="B91" s="11">
        <v>0.5</v>
      </c>
      <c r="C91" s="7">
        <v>0.7</v>
      </c>
      <c r="D91" s="42">
        <v>3.828753461142766</v>
      </c>
      <c r="E91" s="42"/>
    </row>
    <row r="92" spans="1:5" x14ac:dyDescent="0.25">
      <c r="A92" s="11">
        <v>0.1</v>
      </c>
      <c r="B92" s="11">
        <v>0.5</v>
      </c>
      <c r="C92" s="7">
        <v>0.8</v>
      </c>
      <c r="D92" s="42">
        <v>3.8440311563589376</v>
      </c>
      <c r="E92" s="42"/>
    </row>
    <row r="93" spans="1:5" x14ac:dyDescent="0.25">
      <c r="A93" s="11">
        <v>0.1</v>
      </c>
      <c r="B93" s="11">
        <v>0.5</v>
      </c>
      <c r="C93" s="7">
        <v>0.9</v>
      </c>
      <c r="D93" s="42">
        <v>3.8593238560007936</v>
      </c>
      <c r="E93" s="42"/>
    </row>
    <row r="94" spans="1:5" x14ac:dyDescent="0.25">
      <c r="A94" s="11">
        <v>0.1</v>
      </c>
      <c r="B94" s="11">
        <v>0.6</v>
      </c>
      <c r="C94" s="7">
        <v>0.1</v>
      </c>
      <c r="D94" s="42">
        <v>3.7706982606675208</v>
      </c>
      <c r="E94" s="42"/>
    </row>
    <row r="95" spans="1:5" x14ac:dyDescent="0.25">
      <c r="A95" s="11">
        <v>0.1</v>
      </c>
      <c r="B95" s="11">
        <v>0.6</v>
      </c>
      <c r="C95" s="7">
        <v>0.2</v>
      </c>
      <c r="D95" s="42">
        <v>3.7854525142131412</v>
      </c>
      <c r="E95" s="42"/>
    </row>
    <row r="96" spans="1:5" x14ac:dyDescent="0.25">
      <c r="A96" s="11">
        <v>0.1</v>
      </c>
      <c r="B96" s="11">
        <v>0.6</v>
      </c>
      <c r="C96" s="7">
        <v>0.3</v>
      </c>
      <c r="D96" s="42">
        <v>3.8002234198479878</v>
      </c>
      <c r="E96" s="42"/>
    </row>
    <row r="97" spans="1:5" x14ac:dyDescent="0.25">
      <c r="A97" s="11">
        <v>0.1</v>
      </c>
      <c r="B97" s="11">
        <v>0.6</v>
      </c>
      <c r="C97" s="7">
        <v>0.4</v>
      </c>
      <c r="D97" s="42">
        <v>3.8150108914007075</v>
      </c>
      <c r="E97" s="42"/>
    </row>
    <row r="98" spans="1:5" x14ac:dyDescent="0.25">
      <c r="A98" s="11">
        <v>0.1</v>
      </c>
      <c r="B98" s="11">
        <v>0.6</v>
      </c>
      <c r="C98" s="7">
        <v>0.5</v>
      </c>
      <c r="D98" s="42">
        <v>3.829814843293474</v>
      </c>
      <c r="E98" s="42"/>
    </row>
    <row r="99" spans="1:5" x14ac:dyDescent="0.25">
      <c r="A99" s="11">
        <v>0.1</v>
      </c>
      <c r="B99" s="11">
        <v>0.6</v>
      </c>
      <c r="C99" s="7">
        <v>0.6</v>
      </c>
      <c r="D99" s="42">
        <v>3.8446351905369096</v>
      </c>
      <c r="E99" s="42"/>
    </row>
    <row r="100" spans="1:5" x14ac:dyDescent="0.25">
      <c r="A100" s="11">
        <v>0.1</v>
      </c>
      <c r="B100" s="11">
        <v>0.6</v>
      </c>
      <c r="C100" s="7">
        <v>0.7</v>
      </c>
      <c r="D100" s="42">
        <v>3.8594718487249908</v>
      </c>
      <c r="E100" s="42"/>
    </row>
    <row r="101" spans="1:5" x14ac:dyDescent="0.25">
      <c r="A101" s="11">
        <v>0.1</v>
      </c>
      <c r="B101" s="11">
        <v>0.6</v>
      </c>
      <c r="C101" s="7">
        <v>0.8</v>
      </c>
      <c r="D101" s="42">
        <v>3.8743247340301212</v>
      </c>
      <c r="E101" s="42"/>
    </row>
    <row r="102" spans="1:5" x14ac:dyDescent="0.25">
      <c r="A102" s="11">
        <v>0.1</v>
      </c>
      <c r="B102" s="11">
        <v>0.6</v>
      </c>
      <c r="C102" s="7">
        <v>0.9</v>
      </c>
      <c r="D102" s="42">
        <v>3.8891937631981275</v>
      </c>
      <c r="E102" s="42"/>
    </row>
    <row r="103" spans="1:5" x14ac:dyDescent="0.25">
      <c r="A103" s="11">
        <v>0.1</v>
      </c>
      <c r="B103" s="11">
        <v>0.7</v>
      </c>
      <c r="C103" s="7">
        <v>0.1</v>
      </c>
      <c r="D103" s="42">
        <v>3.7903673203017121</v>
      </c>
      <c r="E103" s="42"/>
    </row>
    <row r="104" spans="1:5" x14ac:dyDescent="0.25">
      <c r="A104" s="11">
        <v>0.1</v>
      </c>
      <c r="B104" s="11">
        <v>0.7</v>
      </c>
      <c r="C104" s="7">
        <v>0.2</v>
      </c>
      <c r="D104" s="42">
        <v>3.804677993101012</v>
      </c>
      <c r="E104" s="42"/>
    </row>
    <row r="105" spans="1:5" x14ac:dyDescent="0.25">
      <c r="A105" s="11">
        <v>0.1</v>
      </c>
      <c r="B105" s="11">
        <v>0.7</v>
      </c>
      <c r="C105" s="7">
        <v>0.3</v>
      </c>
      <c r="D105" s="42">
        <v>3.8190065111845515</v>
      </c>
      <c r="E105" s="42"/>
    </row>
    <row r="106" spans="1:5" x14ac:dyDescent="0.25">
      <c r="A106" s="11">
        <v>0.1</v>
      </c>
      <c r="B106" s="11">
        <v>0.7</v>
      </c>
      <c r="C106" s="7">
        <v>0.4</v>
      </c>
      <c r="D106" s="42">
        <v>3.8333527822064251</v>
      </c>
      <c r="E106" s="42"/>
    </row>
    <row r="107" spans="1:5" x14ac:dyDescent="0.25">
      <c r="A107" s="11">
        <v>0.1</v>
      </c>
      <c r="B107" s="11">
        <v>0.7</v>
      </c>
      <c r="C107" s="7">
        <v>0.5</v>
      </c>
      <c r="D107" s="42">
        <v>3.8477167144567748</v>
      </c>
      <c r="E107" s="42"/>
    </row>
    <row r="108" spans="1:5" x14ac:dyDescent="0.25">
      <c r="A108" s="11">
        <v>0.1</v>
      </c>
      <c r="B108" s="11">
        <v>0.7</v>
      </c>
      <c r="C108" s="7">
        <v>0.6</v>
      </c>
      <c r="D108" s="42">
        <v>3.8620982168563582</v>
      </c>
      <c r="E108" s="42"/>
    </row>
    <row r="109" spans="1:5" x14ac:dyDescent="0.25">
      <c r="A109" s="11">
        <v>0.1</v>
      </c>
      <c r="B109" s="11">
        <v>0.7</v>
      </c>
      <c r="C109" s="7">
        <v>0.7</v>
      </c>
      <c r="D109" s="42">
        <v>3.876497198951105</v>
      </c>
      <c r="E109" s="42"/>
    </row>
    <row r="110" spans="1:5" x14ac:dyDescent="0.25">
      <c r="A110" s="11">
        <v>0.1</v>
      </c>
      <c r="B110" s="11">
        <v>0.7</v>
      </c>
      <c r="C110" s="7">
        <v>0.8</v>
      </c>
      <c r="D110" s="42">
        <v>3.8909135709067924</v>
      </c>
      <c r="E110" s="42"/>
    </row>
    <row r="111" spans="1:5" x14ac:dyDescent="0.25">
      <c r="A111" s="11">
        <v>0.1</v>
      </c>
      <c r="B111" s="11">
        <v>0.7</v>
      </c>
      <c r="C111" s="7">
        <v>0.9</v>
      </c>
      <c r="D111" s="42">
        <v>3.9053472435037291</v>
      </c>
      <c r="E111" s="42"/>
    </row>
    <row r="112" spans="1:5" x14ac:dyDescent="0.25">
      <c r="A112" s="11">
        <v>0.1</v>
      </c>
      <c r="B112" s="11">
        <v>0.8</v>
      </c>
      <c r="C112" s="7">
        <v>0.1</v>
      </c>
      <c r="D112" s="42">
        <v>3.7978734094596289</v>
      </c>
      <c r="E112" s="42"/>
    </row>
    <row r="113" spans="1:5" x14ac:dyDescent="0.25">
      <c r="A113" s="11">
        <v>0.1</v>
      </c>
      <c r="B113" s="11">
        <v>0.8</v>
      </c>
      <c r="C113" s="7">
        <v>0.2</v>
      </c>
      <c r="D113" s="42">
        <v>3.8117299508211486</v>
      </c>
      <c r="E113" s="42"/>
    </row>
    <row r="114" spans="1:5" x14ac:dyDescent="0.25">
      <c r="A114" s="11">
        <v>0.1</v>
      </c>
      <c r="B114" s="11">
        <v>0.8</v>
      </c>
      <c r="C114" s="7">
        <v>0.3</v>
      </c>
      <c r="D114" s="42">
        <v>3.8256055485396585</v>
      </c>
      <c r="E114" s="42"/>
    </row>
    <row r="115" spans="1:5" x14ac:dyDescent="0.25">
      <c r="A115" s="11">
        <v>0.1</v>
      </c>
      <c r="B115" s="11">
        <v>0.8</v>
      </c>
      <c r="C115" s="7">
        <v>0.4</v>
      </c>
      <c r="D115" s="42">
        <v>3.8395001040021852</v>
      </c>
      <c r="E115" s="42"/>
    </row>
    <row r="116" spans="1:5" x14ac:dyDescent="0.25">
      <c r="A116" s="11">
        <v>0.1</v>
      </c>
      <c r="B116" s="11">
        <v>0.8</v>
      </c>
      <c r="C116" s="7">
        <v>0.5</v>
      </c>
      <c r="D116" s="42">
        <v>3.8534135192749699</v>
      </c>
      <c r="E116" s="42"/>
    </row>
    <row r="117" spans="1:5" x14ac:dyDescent="0.25">
      <c r="A117" s="11">
        <v>0.1</v>
      </c>
      <c r="B117" s="11">
        <v>0.8</v>
      </c>
      <c r="C117" s="7">
        <v>0.6</v>
      </c>
      <c r="D117" s="42">
        <v>3.867345697097667</v>
      </c>
      <c r="E117" s="42"/>
    </row>
    <row r="118" spans="1:5" x14ac:dyDescent="0.25">
      <c r="A118" s="11">
        <v>0.1</v>
      </c>
      <c r="B118" s="11">
        <v>0.8</v>
      </c>
      <c r="C118" s="7">
        <v>0.7</v>
      </c>
      <c r="D118" s="42">
        <v>3.8812965408775209</v>
      </c>
      <c r="E118" s="42"/>
    </row>
    <row r="119" spans="1:5" x14ac:dyDescent="0.25">
      <c r="A119" s="11">
        <v>0.1</v>
      </c>
      <c r="B119" s="11">
        <v>0.8</v>
      </c>
      <c r="C119" s="7">
        <v>0.8</v>
      </c>
      <c r="D119" s="42">
        <v>3.895265954683707</v>
      </c>
      <c r="E119" s="42"/>
    </row>
    <row r="120" spans="1:5" x14ac:dyDescent="0.25">
      <c r="A120" s="11">
        <v>0.1</v>
      </c>
      <c r="B120" s="11">
        <v>0.8</v>
      </c>
      <c r="C120" s="7">
        <v>0.9</v>
      </c>
      <c r="D120" s="42">
        <v>3.9092538432416175</v>
      </c>
      <c r="E120" s="42"/>
    </row>
    <row r="121" spans="1:5" x14ac:dyDescent="0.25">
      <c r="A121" s="11">
        <v>0.1</v>
      </c>
      <c r="B121" s="11">
        <v>0.9</v>
      </c>
      <c r="C121" s="7">
        <v>0.1</v>
      </c>
      <c r="D121" s="42">
        <v>3.7945693759493055</v>
      </c>
      <c r="E121" s="42"/>
    </row>
    <row r="122" spans="1:5" x14ac:dyDescent="0.25">
      <c r="A122" s="11">
        <v>0.1</v>
      </c>
      <c r="B122" s="11">
        <v>0.9</v>
      </c>
      <c r="C122" s="7">
        <v>0.2</v>
      </c>
      <c r="D122" s="42">
        <v>3.807962382954952</v>
      </c>
      <c r="E122" s="42"/>
    </row>
    <row r="123" spans="1:5" x14ac:dyDescent="0.25">
      <c r="A123" s="11">
        <v>0.1</v>
      </c>
      <c r="B123" s="11">
        <v>0.9</v>
      </c>
      <c r="C123" s="7">
        <v>0.3</v>
      </c>
      <c r="D123" s="42">
        <v>3.8213756752587242</v>
      </c>
      <c r="E123" s="42"/>
    </row>
    <row r="124" spans="1:5" x14ac:dyDescent="0.25">
      <c r="A124" s="11">
        <v>0.1</v>
      </c>
      <c r="B124" s="11">
        <v>0.9</v>
      </c>
      <c r="C124" s="7">
        <v>0.4</v>
      </c>
      <c r="D124" s="42">
        <v>3.8348091478881177</v>
      </c>
      <c r="E124" s="42"/>
    </row>
    <row r="125" spans="1:5" x14ac:dyDescent="0.25">
      <c r="A125" s="11">
        <v>0.1</v>
      </c>
      <c r="B125" s="11">
        <v>0.9</v>
      </c>
      <c r="C125" s="7">
        <v>0.5</v>
      </c>
      <c r="D125" s="42">
        <v>3.8482626965936491</v>
      </c>
      <c r="E125" s="42"/>
    </row>
    <row r="126" spans="1:5" x14ac:dyDescent="0.25">
      <c r="A126" s="11">
        <v>0.1</v>
      </c>
      <c r="B126" s="11">
        <v>0.9</v>
      </c>
      <c r="C126" s="7">
        <v>0.6</v>
      </c>
      <c r="D126" s="42">
        <v>3.8617362178426657</v>
      </c>
      <c r="E126" s="42"/>
    </row>
    <row r="127" spans="1:5" x14ac:dyDescent="0.25">
      <c r="A127" s="11">
        <v>0.1</v>
      </c>
      <c r="B127" s="11">
        <v>0.9</v>
      </c>
      <c r="C127" s="7">
        <v>0.7</v>
      </c>
      <c r="D127" s="42">
        <v>3.8752296088131586</v>
      </c>
      <c r="E127" s="42"/>
    </row>
    <row r="128" spans="1:5" x14ac:dyDescent="0.25">
      <c r="A128" s="11">
        <v>0.1</v>
      </c>
      <c r="B128" s="11">
        <v>0.9</v>
      </c>
      <c r="C128" s="7">
        <v>0.8</v>
      </c>
      <c r="D128" s="42">
        <v>3.8887427673877424</v>
      </c>
      <c r="E128" s="42"/>
    </row>
    <row r="129" spans="1:5" ht="15.75" thickBot="1" x14ac:dyDescent="0.3">
      <c r="A129" s="11">
        <v>0.1</v>
      </c>
      <c r="B129" s="27">
        <v>0.9</v>
      </c>
      <c r="C129" s="9">
        <v>0.9</v>
      </c>
      <c r="D129" s="43">
        <v>3.9022755921475674</v>
      </c>
      <c r="E129" s="43"/>
    </row>
    <row r="130" spans="1:5" x14ac:dyDescent="0.25">
      <c r="A130" s="11">
        <v>0.2</v>
      </c>
      <c r="B130" s="11">
        <v>0.1</v>
      </c>
      <c r="C130" s="7">
        <v>0.1</v>
      </c>
      <c r="D130" s="28">
        <v>3.6134572830583394</v>
      </c>
      <c r="E130" s="28"/>
    </row>
    <row r="131" spans="1:5" x14ac:dyDescent="0.25">
      <c r="A131" s="11">
        <v>0.2</v>
      </c>
      <c r="B131" s="11">
        <v>0.1</v>
      </c>
      <c r="C131" s="7">
        <v>0.2</v>
      </c>
      <c r="D131" s="28">
        <v>3.5829862682921809</v>
      </c>
      <c r="E131" s="28"/>
    </row>
    <row r="132" spans="1:5" x14ac:dyDescent="0.25">
      <c r="A132" s="11">
        <v>0.2</v>
      </c>
      <c r="B132" s="11">
        <v>0.1</v>
      </c>
      <c r="C132" s="7">
        <v>0.3</v>
      </c>
      <c r="D132" s="28">
        <v>3.5525342362400041</v>
      </c>
      <c r="E132" s="28"/>
    </row>
    <row r="133" spans="1:5" x14ac:dyDescent="0.25">
      <c r="A133" s="11">
        <v>0.2</v>
      </c>
      <c r="B133" s="11">
        <v>0.1</v>
      </c>
      <c r="C133" s="7">
        <v>0.4</v>
      </c>
      <c r="D133" s="28">
        <v>3.5221010996848672</v>
      </c>
      <c r="E133" s="28"/>
    </row>
    <row r="134" spans="1:5" x14ac:dyDescent="0.25">
      <c r="A134" s="11">
        <v>0.2</v>
      </c>
      <c r="B134" s="11">
        <v>0.1</v>
      </c>
      <c r="C134" s="7">
        <v>0.5</v>
      </c>
      <c r="D134" s="28">
        <v>3.4983019900237453</v>
      </c>
      <c r="E134" s="28"/>
    </row>
    <row r="135" spans="1:5" x14ac:dyDescent="0.25">
      <c r="A135" s="11">
        <v>0.2</v>
      </c>
      <c r="B135" s="11">
        <v>0.1</v>
      </c>
      <c r="C135" s="7">
        <v>0.6</v>
      </c>
      <c r="D135" s="28">
        <v>3.5085090994061883</v>
      </c>
      <c r="E135" s="28"/>
    </row>
    <row r="136" spans="1:5" x14ac:dyDescent="0.25">
      <c r="A136" s="11">
        <v>0.2</v>
      </c>
      <c r="B136" s="11">
        <v>0.1</v>
      </c>
      <c r="C136" s="7">
        <v>0.7</v>
      </c>
      <c r="D136" s="28">
        <v>3.5187348458194534</v>
      </c>
      <c r="E136" s="28"/>
    </row>
    <row r="137" spans="1:5" x14ac:dyDescent="0.25">
      <c r="A137" s="11">
        <v>0.2</v>
      </c>
      <c r="B137" s="11">
        <v>0.1</v>
      </c>
      <c r="C137" s="7">
        <v>0.8</v>
      </c>
      <c r="D137" s="28">
        <v>3.5289791441562284</v>
      </c>
      <c r="E137" s="28"/>
    </row>
    <row r="138" spans="1:5" x14ac:dyDescent="0.25">
      <c r="A138" s="11">
        <v>0.2</v>
      </c>
      <c r="B138" s="11">
        <v>0.1</v>
      </c>
      <c r="C138" s="7">
        <v>0.9</v>
      </c>
      <c r="D138" s="28">
        <v>3.5392419098266172</v>
      </c>
      <c r="E138" s="28"/>
    </row>
    <row r="139" spans="1:5" x14ac:dyDescent="0.25">
      <c r="A139" s="11">
        <v>0.2</v>
      </c>
      <c r="B139" s="11">
        <v>0.2</v>
      </c>
      <c r="C139" s="7">
        <v>0.1</v>
      </c>
      <c r="D139" s="28">
        <v>3.5262365844366612</v>
      </c>
      <c r="E139" s="28"/>
    </row>
    <row r="140" spans="1:5" x14ac:dyDescent="0.25">
      <c r="A140" s="11">
        <v>0.2</v>
      </c>
      <c r="B140" s="11">
        <v>0.2</v>
      </c>
      <c r="C140" s="7">
        <v>0.2</v>
      </c>
      <c r="D140" s="28">
        <v>3.5355736451924789</v>
      </c>
      <c r="E140" s="28"/>
    </row>
    <row r="141" spans="1:5" x14ac:dyDescent="0.25">
      <c r="A141" s="11">
        <v>0.2</v>
      </c>
      <c r="B141" s="11">
        <v>0.2</v>
      </c>
      <c r="C141" s="7">
        <v>0.3</v>
      </c>
      <c r="D141" s="28">
        <v>3.5449317537241067</v>
      </c>
      <c r="E141" s="28"/>
    </row>
    <row r="142" spans="1:5" x14ac:dyDescent="0.25">
      <c r="A142" s="11">
        <v>0.2</v>
      </c>
      <c r="B142" s="11">
        <v>0.2</v>
      </c>
      <c r="C142" s="7">
        <v>0.4</v>
      </c>
      <c r="D142" s="28">
        <v>3.5543108133265844</v>
      </c>
      <c r="E142" s="28"/>
    </row>
    <row r="143" spans="1:5" x14ac:dyDescent="0.25">
      <c r="A143" s="11">
        <v>0.2</v>
      </c>
      <c r="B143" s="11">
        <v>0.2</v>
      </c>
      <c r="C143" s="7">
        <v>0.5</v>
      </c>
      <c r="D143" s="28">
        <v>3.5637107278864604</v>
      </c>
      <c r="E143" s="28"/>
    </row>
    <row r="144" spans="1:5" x14ac:dyDescent="0.25">
      <c r="A144" s="11">
        <v>0.2</v>
      </c>
      <c r="B144" s="11">
        <v>0.2</v>
      </c>
      <c r="C144" s="7">
        <v>0.6</v>
      </c>
      <c r="D144" s="28">
        <v>3.573131401877284</v>
      </c>
      <c r="E144" s="28"/>
    </row>
    <row r="145" spans="1:5" x14ac:dyDescent="0.25">
      <c r="A145" s="11">
        <v>0.2</v>
      </c>
      <c r="B145" s="11">
        <v>0.2</v>
      </c>
      <c r="C145" s="7">
        <v>0.7</v>
      </c>
      <c r="D145" s="28">
        <v>3.5825727403551313</v>
      </c>
      <c r="E145" s="28"/>
    </row>
    <row r="146" spans="1:5" x14ac:dyDescent="0.25">
      <c r="A146" s="11">
        <v>0.2</v>
      </c>
      <c r="B146" s="11">
        <v>0.2</v>
      </c>
      <c r="C146" s="7">
        <v>0.8</v>
      </c>
      <c r="D146" s="28">
        <v>3.592034648954157</v>
      </c>
      <c r="E146" s="28"/>
    </row>
    <row r="147" spans="1:5" x14ac:dyDescent="0.25">
      <c r="A147" s="11">
        <v>0.2</v>
      </c>
      <c r="B147" s="11">
        <v>0.2</v>
      </c>
      <c r="C147" s="7">
        <v>0.9</v>
      </c>
      <c r="D147" s="28">
        <v>3.6015170338822289</v>
      </c>
      <c r="E147" s="28"/>
    </row>
    <row r="148" spans="1:5" x14ac:dyDescent="0.25">
      <c r="A148" s="11">
        <v>0.2</v>
      </c>
      <c r="B148" s="11">
        <v>0.3</v>
      </c>
      <c r="C148" s="7">
        <v>0.1</v>
      </c>
      <c r="D148" s="28">
        <v>3.5514160890642357</v>
      </c>
      <c r="E148" s="28"/>
    </row>
    <row r="149" spans="1:5" x14ac:dyDescent="0.25">
      <c r="A149" s="11">
        <v>0.2</v>
      </c>
      <c r="B149" s="11">
        <v>0.3</v>
      </c>
      <c r="C149" s="7">
        <v>0.2</v>
      </c>
      <c r="D149" s="28">
        <v>3.5599284002517195</v>
      </c>
      <c r="E149" s="28"/>
    </row>
    <row r="150" spans="1:5" x14ac:dyDescent="0.25">
      <c r="A150" s="11">
        <v>0.2</v>
      </c>
      <c r="B150" s="11">
        <v>0.3</v>
      </c>
      <c r="C150" s="7">
        <v>0.3</v>
      </c>
      <c r="D150" s="28">
        <v>3.5684638806091287</v>
      </c>
      <c r="E150" s="28"/>
    </row>
    <row r="151" spans="1:5" x14ac:dyDescent="0.25">
      <c r="A151" s="11">
        <v>0.2</v>
      </c>
      <c r="B151" s="11">
        <v>0.3</v>
      </c>
      <c r="C151" s="7">
        <v>0.4</v>
      </c>
      <c r="D151" s="28">
        <v>3.5770224236846584</v>
      </c>
      <c r="E151" s="28"/>
    </row>
    <row r="152" spans="1:5" x14ac:dyDescent="0.25">
      <c r="A152" s="11">
        <v>0.2</v>
      </c>
      <c r="B152" s="11">
        <v>0.3</v>
      </c>
      <c r="C152" s="7">
        <v>0.5</v>
      </c>
      <c r="D152" s="28">
        <v>3.5856039236776343</v>
      </c>
      <c r="E152" s="28"/>
    </row>
    <row r="153" spans="1:5" x14ac:dyDescent="0.25">
      <c r="A153" s="11">
        <v>0.2</v>
      </c>
      <c r="B153" s="11">
        <v>0.3</v>
      </c>
      <c r="C153" s="7">
        <v>0.6</v>
      </c>
      <c r="D153" s="28">
        <v>3.5942082754335511</v>
      </c>
      <c r="E153" s="28"/>
    </row>
    <row r="154" spans="1:5" x14ac:dyDescent="0.25">
      <c r="A154" s="11">
        <v>0.2</v>
      </c>
      <c r="B154" s="11">
        <v>0.3</v>
      </c>
      <c r="C154" s="7">
        <v>0.7</v>
      </c>
      <c r="D154" s="28">
        <v>3.6028353744391186</v>
      </c>
      <c r="E154" s="28"/>
    </row>
    <row r="155" spans="1:5" x14ac:dyDescent="0.25">
      <c r="A155" s="11">
        <v>0.2</v>
      </c>
      <c r="B155" s="11">
        <v>0.3</v>
      </c>
      <c r="C155" s="7">
        <v>0.8</v>
      </c>
      <c r="D155" s="28">
        <v>3.6114851168174265</v>
      </c>
      <c r="E155" s="28"/>
    </row>
    <row r="156" spans="1:5" x14ac:dyDescent="0.25">
      <c r="A156" s="11">
        <v>0.2</v>
      </c>
      <c r="B156" s="11">
        <v>0.3</v>
      </c>
      <c r="C156" s="7">
        <v>0.9</v>
      </c>
      <c r="D156" s="28">
        <v>3.6201573993230793</v>
      </c>
      <c r="E156" s="28"/>
    </row>
    <row r="157" spans="1:5" x14ac:dyDescent="0.25">
      <c r="A157" s="11">
        <v>0.2</v>
      </c>
      <c r="B157" s="11">
        <v>0.4</v>
      </c>
      <c r="C157" s="7">
        <v>0.1</v>
      </c>
      <c r="D157" s="28">
        <v>3.5420323059518481</v>
      </c>
      <c r="E157" s="28"/>
    </row>
    <row r="158" spans="1:5" x14ac:dyDescent="0.25">
      <c r="A158" s="11">
        <v>0.2</v>
      </c>
      <c r="B158" s="11">
        <v>0.4</v>
      </c>
      <c r="C158" s="7">
        <v>0.2</v>
      </c>
      <c r="D158" s="28">
        <v>3.5496958309409141</v>
      </c>
      <c r="E158" s="28"/>
    </row>
    <row r="159" spans="1:5" x14ac:dyDescent="0.25">
      <c r="A159" s="11">
        <v>0.2</v>
      </c>
      <c r="B159" s="11">
        <v>0.4</v>
      </c>
      <c r="C159" s="7">
        <v>0.3</v>
      </c>
      <c r="D159" s="28">
        <v>3.5573847027739514</v>
      </c>
      <c r="E159" s="28"/>
    </row>
    <row r="160" spans="1:5" x14ac:dyDescent="0.25">
      <c r="A160" s="11">
        <v>0.2</v>
      </c>
      <c r="B160" s="11">
        <v>0.4</v>
      </c>
      <c r="C160" s="7">
        <v>0.4</v>
      </c>
      <c r="D160" s="28">
        <v>3.5650988049937382</v>
      </c>
      <c r="E160" s="28"/>
    </row>
    <row r="161" spans="1:5" x14ac:dyDescent="0.25">
      <c r="A161" s="11">
        <v>0.2</v>
      </c>
      <c r="B161" s="11">
        <v>0.4</v>
      </c>
      <c r="C161" s="7">
        <v>0.5</v>
      </c>
      <c r="D161" s="28">
        <v>3.5728380218553699</v>
      </c>
      <c r="E161" s="28"/>
    </row>
    <row r="162" spans="1:5" x14ac:dyDescent="0.25">
      <c r="A162" s="11">
        <v>0.2</v>
      </c>
      <c r="B162" s="11">
        <v>0.4</v>
      </c>
      <c r="C162" s="7">
        <v>0.6</v>
      </c>
      <c r="D162" s="28">
        <v>3.580602238320854</v>
      </c>
      <c r="E162" s="28"/>
    </row>
    <row r="163" spans="1:5" x14ac:dyDescent="0.25">
      <c r="A163" s="11">
        <v>0.2</v>
      </c>
      <c r="B163" s="11">
        <v>0.4</v>
      </c>
      <c r="C163" s="7">
        <v>0.7</v>
      </c>
      <c r="D163" s="28">
        <v>3.5883913400536809</v>
      </c>
      <c r="E163" s="28"/>
    </row>
    <row r="164" spans="1:5" x14ac:dyDescent="0.25">
      <c r="A164" s="11">
        <v>0.2</v>
      </c>
      <c r="B164" s="11">
        <v>0.4</v>
      </c>
      <c r="C164" s="7">
        <v>0.8</v>
      </c>
      <c r="D164" s="28">
        <v>3.5962052134135365</v>
      </c>
      <c r="E164" s="28"/>
    </row>
    <row r="165" spans="1:5" x14ac:dyDescent="0.25">
      <c r="A165" s="11">
        <v>0.2</v>
      </c>
      <c r="B165" s="11">
        <v>0.4</v>
      </c>
      <c r="C165" s="7">
        <v>0.9</v>
      </c>
      <c r="D165" s="28">
        <v>3.6040437454509671</v>
      </c>
      <c r="E165" s="28"/>
    </row>
    <row r="166" spans="1:5" x14ac:dyDescent="0.25">
      <c r="A166" s="11">
        <v>0.2</v>
      </c>
      <c r="B166" s="11">
        <v>0.5</v>
      </c>
      <c r="C166" s="7">
        <v>0.1</v>
      </c>
      <c r="D166" s="28">
        <v>3.5056449084117336</v>
      </c>
      <c r="E166" s="28"/>
    </row>
    <row r="167" spans="1:5" x14ac:dyDescent="0.25">
      <c r="A167" s="11">
        <v>0.2</v>
      </c>
      <c r="B167" s="11">
        <v>0.5</v>
      </c>
      <c r="C167" s="7">
        <v>0.2</v>
      </c>
      <c r="D167" s="28">
        <v>3.5124406375924737</v>
      </c>
      <c r="E167" s="28"/>
    </row>
    <row r="168" spans="1:5" x14ac:dyDescent="0.25">
      <c r="A168" s="11">
        <v>0.2</v>
      </c>
      <c r="B168" s="11">
        <v>0.5</v>
      </c>
      <c r="C168" s="7">
        <v>0.3</v>
      </c>
      <c r="D168" s="28">
        <v>3.5192639475188927</v>
      </c>
      <c r="E168" s="28"/>
    </row>
    <row r="169" spans="1:5" x14ac:dyDescent="0.25">
      <c r="A169" s="11">
        <v>0.2</v>
      </c>
      <c r="B169" s="11">
        <v>0.5</v>
      </c>
      <c r="C169" s="7">
        <v>0.4</v>
      </c>
      <c r="D169" s="28">
        <v>3.5261147114699956</v>
      </c>
      <c r="E169" s="28"/>
    </row>
    <row r="170" spans="1:5" x14ac:dyDescent="0.25">
      <c r="A170" s="11">
        <v>0.2</v>
      </c>
      <c r="B170" s="11">
        <v>0.5</v>
      </c>
      <c r="C170" s="7">
        <v>0.5</v>
      </c>
      <c r="D170" s="28">
        <v>3.5329928034998943</v>
      </c>
      <c r="E170" s="28"/>
    </row>
    <row r="171" spans="1:5" x14ac:dyDescent="0.25">
      <c r="A171" s="11">
        <v>0.2</v>
      </c>
      <c r="B171" s="11">
        <v>0.5</v>
      </c>
      <c r="C171" s="7">
        <v>0.6</v>
      </c>
      <c r="D171" s="28">
        <v>3.5398980984319262</v>
      </c>
      <c r="E171" s="28"/>
    </row>
    <row r="172" spans="1:5" x14ac:dyDescent="0.25">
      <c r="A172" s="11">
        <v>0.2</v>
      </c>
      <c r="B172" s="11">
        <v>0.5</v>
      </c>
      <c r="C172" s="7">
        <v>0.7</v>
      </c>
      <c r="D172" s="28">
        <v>3.5468304718527217</v>
      </c>
      <c r="E172" s="28"/>
    </row>
    <row r="173" spans="1:5" x14ac:dyDescent="0.25">
      <c r="A173" s="11">
        <v>0.2</v>
      </c>
      <c r="B173" s="11">
        <v>0.5</v>
      </c>
      <c r="C173" s="7">
        <v>0.8</v>
      </c>
      <c r="D173" s="28">
        <v>3.5537898001064616</v>
      </c>
      <c r="E173" s="28"/>
    </row>
    <row r="174" spans="1:5" x14ac:dyDescent="0.25">
      <c r="A174" s="11">
        <v>0.2</v>
      </c>
      <c r="B174" s="11">
        <v>0.5</v>
      </c>
      <c r="C174" s="7">
        <v>0.9</v>
      </c>
      <c r="D174" s="28">
        <v>3.5607759602890834</v>
      </c>
      <c r="E174" s="28"/>
    </row>
    <row r="175" spans="1:5" x14ac:dyDescent="0.25">
      <c r="A175" s="11">
        <v>0.2</v>
      </c>
      <c r="B175" s="11">
        <v>0.6</v>
      </c>
      <c r="C175" s="7">
        <v>0.1</v>
      </c>
      <c r="D175" s="28">
        <v>3.4486815090119411</v>
      </c>
      <c r="E175" s="28"/>
    </row>
    <row r="176" spans="1:5" x14ac:dyDescent="0.25">
      <c r="A176" s="11">
        <v>0.2</v>
      </c>
      <c r="B176" s="11">
        <v>0.6</v>
      </c>
      <c r="C176" s="7">
        <v>0.2</v>
      </c>
      <c r="D176" s="28">
        <v>3.4545945686059878</v>
      </c>
      <c r="E176" s="28"/>
    </row>
    <row r="177" spans="1:5" x14ac:dyDescent="0.25">
      <c r="A177" s="11">
        <v>0.2</v>
      </c>
      <c r="B177" s="11">
        <v>0.6</v>
      </c>
      <c r="C177" s="7">
        <v>0.3</v>
      </c>
      <c r="D177" s="28">
        <v>3.4605374990228497</v>
      </c>
      <c r="E177" s="28"/>
    </row>
    <row r="178" spans="1:5" x14ac:dyDescent="0.25">
      <c r="A178" s="11">
        <v>0.2</v>
      </c>
      <c r="B178" s="11">
        <v>0.6</v>
      </c>
      <c r="C178" s="7">
        <v>0.4</v>
      </c>
      <c r="D178" s="28">
        <v>3.466510163019676</v>
      </c>
      <c r="E178" s="28"/>
    </row>
    <row r="179" spans="1:5" x14ac:dyDescent="0.25">
      <c r="A179" s="11">
        <v>0.2</v>
      </c>
      <c r="B179" s="11">
        <v>0.6</v>
      </c>
      <c r="C179" s="7">
        <v>0.5</v>
      </c>
      <c r="D179" s="28">
        <v>3.4725124241930789</v>
      </c>
      <c r="E179" s="28"/>
    </row>
    <row r="180" spans="1:5" x14ac:dyDescent="0.25">
      <c r="A180" s="11">
        <v>0.2</v>
      </c>
      <c r="B180" s="11">
        <v>0.6</v>
      </c>
      <c r="C180" s="7">
        <v>0.6</v>
      </c>
      <c r="D180" s="28">
        <v>3.4785441469727449</v>
      </c>
      <c r="E180" s="28"/>
    </row>
    <row r="181" spans="1:5" x14ac:dyDescent="0.25">
      <c r="A181" s="11">
        <v>0.2</v>
      </c>
      <c r="B181" s="11">
        <v>0.6</v>
      </c>
      <c r="C181" s="7">
        <v>0.7</v>
      </c>
      <c r="D181" s="28">
        <v>3.48460519661506</v>
      </c>
      <c r="E181" s="28"/>
    </row>
    <row r="182" spans="1:5" x14ac:dyDescent="0.25">
      <c r="A182" s="11">
        <v>0.2</v>
      </c>
      <c r="B182" s="11">
        <v>0.6</v>
      </c>
      <c r="C182" s="7">
        <v>0.8</v>
      </c>
      <c r="D182" s="28">
        <v>3.4906954391968337</v>
      </c>
      <c r="E182" s="28"/>
    </row>
    <row r="183" spans="1:5" x14ac:dyDescent="0.25">
      <c r="A183" s="11">
        <v>0.2</v>
      </c>
      <c r="B183" s="11">
        <v>0.6</v>
      </c>
      <c r="C183" s="7">
        <v>0.9</v>
      </c>
      <c r="D183" s="28">
        <v>3.4968147416090818</v>
      </c>
      <c r="E183" s="28"/>
    </row>
    <row r="184" spans="1:5" x14ac:dyDescent="0.25">
      <c r="A184" s="11">
        <v>0.2</v>
      </c>
      <c r="B184" s="11">
        <v>0.7</v>
      </c>
      <c r="C184" s="7">
        <v>0.1</v>
      </c>
      <c r="D184" s="28">
        <v>3.3765662988852072</v>
      </c>
      <c r="E184" s="28"/>
    </row>
    <row r="185" spans="1:5" x14ac:dyDescent="0.25">
      <c r="A185" s="11">
        <v>0.2</v>
      </c>
      <c r="B185" s="11">
        <v>0.7</v>
      </c>
      <c r="C185" s="7">
        <v>0.2</v>
      </c>
      <c r="D185" s="28">
        <v>3.3815851960418271</v>
      </c>
      <c r="E185" s="28"/>
    </row>
    <row r="186" spans="1:5" x14ac:dyDescent="0.25">
      <c r="A186" s="11">
        <v>0.2</v>
      </c>
      <c r="B186" s="11">
        <v>0.7</v>
      </c>
      <c r="C186" s="7">
        <v>0.3</v>
      </c>
      <c r="D186" s="28">
        <v>3.3866363102216948</v>
      </c>
      <c r="E186" s="28"/>
    </row>
    <row r="187" spans="1:5" x14ac:dyDescent="0.25">
      <c r="A187" s="11">
        <v>0.2</v>
      </c>
      <c r="B187" s="11">
        <v>0.7</v>
      </c>
      <c r="C187" s="7">
        <v>0.4</v>
      </c>
      <c r="D187" s="28">
        <v>3.3917194934022348</v>
      </c>
      <c r="E187" s="28"/>
    </row>
    <row r="188" spans="1:5" x14ac:dyDescent="0.25">
      <c r="A188" s="11">
        <v>0.2</v>
      </c>
      <c r="B188" s="11">
        <v>0.7</v>
      </c>
      <c r="C188" s="7">
        <v>0.5</v>
      </c>
      <c r="D188" s="28">
        <v>3.3968345984662718</v>
      </c>
      <c r="E188" s="28"/>
    </row>
    <row r="189" spans="1:5" x14ac:dyDescent="0.25">
      <c r="A189" s="11">
        <v>0.2</v>
      </c>
      <c r="B189" s="11">
        <v>0.7</v>
      </c>
      <c r="C189" s="7">
        <v>0.6</v>
      </c>
      <c r="D189" s="28">
        <v>3.4019814791951277</v>
      </c>
      <c r="E189" s="28"/>
    </row>
    <row r="190" spans="1:5" x14ac:dyDescent="0.25">
      <c r="A190" s="11">
        <v>0.2</v>
      </c>
      <c r="B190" s="11">
        <v>0.7</v>
      </c>
      <c r="C190" s="7">
        <v>0.7</v>
      </c>
      <c r="D190" s="28">
        <v>3.4071599902617788</v>
      </c>
      <c r="E190" s="28"/>
    </row>
    <row r="191" spans="1:5" x14ac:dyDescent="0.25">
      <c r="A191" s="11">
        <v>0.2</v>
      </c>
      <c r="B191" s="11">
        <v>0.7</v>
      </c>
      <c r="C191" s="7">
        <v>0.8</v>
      </c>
      <c r="D191" s="28">
        <v>3.4123699872240483</v>
      </c>
      <c r="E191" s="28"/>
    </row>
    <row r="192" spans="1:5" x14ac:dyDescent="0.25">
      <c r="A192" s="11">
        <v>0.2</v>
      </c>
      <c r="B192" s="11">
        <v>0.7</v>
      </c>
      <c r="C192" s="7">
        <v>0.9</v>
      </c>
      <c r="D192" s="28">
        <v>3.4176113265179193</v>
      </c>
      <c r="E192" s="28"/>
    </row>
    <row r="193" spans="1:5" x14ac:dyDescent="0.25">
      <c r="A193" s="11">
        <v>0.2</v>
      </c>
      <c r="B193" s="11">
        <v>0.8</v>
      </c>
      <c r="C193" s="7">
        <v>0.1</v>
      </c>
      <c r="D193" s="28">
        <v>3.3335970349759507</v>
      </c>
      <c r="E193" s="28"/>
    </row>
    <row r="194" spans="1:5" x14ac:dyDescent="0.25">
      <c r="A194" s="11">
        <v>0.2</v>
      </c>
      <c r="B194" s="11">
        <v>0.8</v>
      </c>
      <c r="C194" s="7">
        <v>0.2</v>
      </c>
      <c r="D194" s="28">
        <v>3.3377130215979274</v>
      </c>
      <c r="E194" s="28"/>
    </row>
    <row r="195" spans="1:5" x14ac:dyDescent="0.25">
      <c r="A195" s="11">
        <v>0.2</v>
      </c>
      <c r="B195" s="11">
        <v>0.8</v>
      </c>
      <c r="C195" s="7">
        <v>0.3</v>
      </c>
      <c r="D195" s="28">
        <v>3.3418636275147899</v>
      </c>
      <c r="E195" s="28"/>
    </row>
    <row r="196" spans="1:5" x14ac:dyDescent="0.25">
      <c r="A196" s="11">
        <v>0.2</v>
      </c>
      <c r="B196" s="11">
        <v>0.8</v>
      </c>
      <c r="C196" s="7">
        <v>0.4</v>
      </c>
      <c r="D196" s="28">
        <v>3.3460486936666096</v>
      </c>
      <c r="E196" s="28"/>
    </row>
    <row r="197" spans="1:5" x14ac:dyDescent="0.25">
      <c r="A197" s="11">
        <v>0.2</v>
      </c>
      <c r="B197" s="11">
        <v>0.8</v>
      </c>
      <c r="C197" s="7">
        <v>0.5</v>
      </c>
      <c r="D197" s="28">
        <v>3.3502680619663736</v>
      </c>
      <c r="E197" s="28"/>
    </row>
    <row r="198" spans="1:5" x14ac:dyDescent="0.25">
      <c r="A198" s="11">
        <v>0.2</v>
      </c>
      <c r="B198" s="11">
        <v>0.8</v>
      </c>
      <c r="C198" s="7">
        <v>0.6</v>
      </c>
      <c r="D198" s="28">
        <v>3.3545215752925839</v>
      </c>
      <c r="E198" s="28"/>
    </row>
    <row r="199" spans="1:5" x14ac:dyDescent="0.25">
      <c r="A199" s="11">
        <v>0.2</v>
      </c>
      <c r="B199" s="11">
        <v>0.8</v>
      </c>
      <c r="C199" s="7">
        <v>0.7</v>
      </c>
      <c r="D199" s="28">
        <v>3.3588090774818498</v>
      </c>
      <c r="E199" s="28"/>
    </row>
    <row r="200" spans="1:5" x14ac:dyDescent="0.25">
      <c r="A200" s="11">
        <v>0.2</v>
      </c>
      <c r="B200" s="11">
        <v>0.8</v>
      </c>
      <c r="C200" s="7">
        <v>0.8</v>
      </c>
      <c r="D200" s="28">
        <v>3.3631304133216302</v>
      </c>
      <c r="E200" s="28"/>
    </row>
    <row r="201" spans="1:5" x14ac:dyDescent="0.25">
      <c r="A201" s="11">
        <v>0.2</v>
      </c>
      <c r="B201" s="11">
        <v>0.8</v>
      </c>
      <c r="C201" s="7">
        <v>0.9</v>
      </c>
      <c r="D201" s="28">
        <v>3.3674854285430125</v>
      </c>
      <c r="E201" s="28"/>
    </row>
    <row r="202" spans="1:5" x14ac:dyDescent="0.25">
      <c r="A202" s="11">
        <v>0.2</v>
      </c>
      <c r="B202" s="11">
        <v>0.9</v>
      </c>
      <c r="C202" s="7">
        <v>0.1</v>
      </c>
      <c r="D202" s="28">
        <v>3.2776085217467621</v>
      </c>
      <c r="E202" s="28"/>
    </row>
    <row r="203" spans="1:5" x14ac:dyDescent="0.25">
      <c r="A203" s="11">
        <v>0.2</v>
      </c>
      <c r="B203" s="11">
        <v>0.9</v>
      </c>
      <c r="C203" s="7">
        <v>0.2</v>
      </c>
      <c r="D203" s="28">
        <v>3.2808150612918494</v>
      </c>
      <c r="E203" s="28"/>
    </row>
    <row r="204" spans="1:5" x14ac:dyDescent="0.25">
      <c r="A204" s="11">
        <v>0.2</v>
      </c>
      <c r="B204" s="11">
        <v>0.9</v>
      </c>
      <c r="C204" s="7">
        <v>0.3</v>
      </c>
      <c r="D204" s="28">
        <v>3.2840586784226402</v>
      </c>
      <c r="E204" s="28"/>
    </row>
    <row r="205" spans="1:5" x14ac:dyDescent="0.25">
      <c r="A205" s="11">
        <v>0.2</v>
      </c>
      <c r="B205" s="11">
        <v>0.9</v>
      </c>
      <c r="C205" s="7">
        <v>0.4</v>
      </c>
      <c r="D205" s="28">
        <v>3.2873392027844801</v>
      </c>
      <c r="E205" s="28"/>
    </row>
    <row r="206" spans="1:5" x14ac:dyDescent="0.25">
      <c r="A206" s="11">
        <v>0.2</v>
      </c>
      <c r="B206" s="11">
        <v>0.9</v>
      </c>
      <c r="C206" s="7">
        <v>0.5</v>
      </c>
      <c r="D206" s="28">
        <v>3.2906564650647141</v>
      </c>
      <c r="E206" s="28"/>
    </row>
    <row r="207" spans="1:5" x14ac:dyDescent="0.25">
      <c r="A207" s="11">
        <v>0.2</v>
      </c>
      <c r="B207" s="11">
        <v>0.9</v>
      </c>
      <c r="C207" s="7">
        <v>0.6</v>
      </c>
      <c r="D207" s="28">
        <v>3.2940102969847516</v>
      </c>
      <c r="E207" s="28"/>
    </row>
    <row r="208" spans="1:5" x14ac:dyDescent="0.25">
      <c r="A208" s="11">
        <v>0.2</v>
      </c>
      <c r="B208" s="11">
        <v>0.9</v>
      </c>
      <c r="C208" s="7">
        <v>0.7</v>
      </c>
      <c r="D208" s="28">
        <v>3.2974005312921624</v>
      </c>
      <c r="E208" s="28"/>
    </row>
    <row r="209" spans="1:5" x14ac:dyDescent="0.25">
      <c r="A209" s="11">
        <v>0.2</v>
      </c>
      <c r="B209" s="11">
        <v>0.9</v>
      </c>
      <c r="C209" s="7">
        <v>0.8</v>
      </c>
      <c r="D209" s="28">
        <v>3.3008270017528671</v>
      </c>
      <c r="E209" s="28"/>
    </row>
    <row r="210" spans="1:5" ht="15.75" thickBot="1" x14ac:dyDescent="0.3">
      <c r="A210" s="11">
        <v>0.2</v>
      </c>
      <c r="B210" s="27">
        <v>0.9</v>
      </c>
      <c r="C210" s="9">
        <v>0.9</v>
      </c>
      <c r="D210" s="28">
        <v>3.3042895431434403</v>
      </c>
      <c r="E210" s="28"/>
    </row>
    <row r="211" spans="1:5" x14ac:dyDescent="0.25">
      <c r="A211" s="11">
        <v>0.3</v>
      </c>
      <c r="B211" s="11">
        <v>0.1</v>
      </c>
      <c r="C211" s="7">
        <v>0.1</v>
      </c>
      <c r="D211" s="28">
        <v>3.3576760118616562</v>
      </c>
      <c r="E211" s="28"/>
    </row>
    <row r="212" spans="1:5" x14ac:dyDescent="0.25">
      <c r="A212" s="11">
        <v>0.3</v>
      </c>
      <c r="B212" s="11">
        <v>0.1</v>
      </c>
      <c r="C212" s="7">
        <v>0.2</v>
      </c>
      <c r="D212" s="28">
        <v>3.3622045340490119</v>
      </c>
      <c r="E212" s="28"/>
    </row>
    <row r="213" spans="1:5" x14ac:dyDescent="0.25">
      <c r="A213" s="11">
        <v>0.3</v>
      </c>
      <c r="B213" s="11">
        <v>0.1</v>
      </c>
      <c r="C213" s="7">
        <v>0.3</v>
      </c>
      <c r="D213" s="28">
        <v>3.3667567704602046</v>
      </c>
      <c r="E213" s="28"/>
    </row>
    <row r="214" spans="1:5" x14ac:dyDescent="0.25">
      <c r="A214" s="11">
        <v>0.3</v>
      </c>
      <c r="B214" s="11">
        <v>0.1</v>
      </c>
      <c r="C214" s="7">
        <v>0.4</v>
      </c>
      <c r="D214" s="28">
        <v>3.3713326258680483</v>
      </c>
      <c r="E214" s="28"/>
    </row>
    <row r="215" spans="1:5" x14ac:dyDescent="0.25">
      <c r="A215" s="11">
        <v>0.3</v>
      </c>
      <c r="B215" s="11">
        <v>0.1</v>
      </c>
      <c r="C215" s="7">
        <v>0.5</v>
      </c>
      <c r="D215" s="28">
        <v>3.3759320055545405</v>
      </c>
      <c r="E215" s="28"/>
    </row>
    <row r="216" spans="1:5" x14ac:dyDescent="0.25">
      <c r="A216" s="11">
        <v>0.3</v>
      </c>
      <c r="B216" s="11">
        <v>0.1</v>
      </c>
      <c r="C216" s="7">
        <v>0.6</v>
      </c>
      <c r="D216" s="28">
        <v>3.3805548153074354</v>
      </c>
      <c r="E216" s="28"/>
    </row>
    <row r="217" spans="1:5" x14ac:dyDescent="0.25">
      <c r="A217" s="11">
        <v>0.3</v>
      </c>
      <c r="B217" s="11">
        <v>0.1</v>
      </c>
      <c r="C217" s="7">
        <v>0.7</v>
      </c>
      <c r="D217" s="28">
        <v>3.3852009614169329</v>
      </c>
      <c r="E217" s="28"/>
    </row>
    <row r="218" spans="1:5" x14ac:dyDescent="0.25">
      <c r="A218" s="11">
        <v>0.3</v>
      </c>
      <c r="B218" s="11">
        <v>0.1</v>
      </c>
      <c r="C218" s="7">
        <v>0.8</v>
      </c>
      <c r="D218" s="28">
        <v>3.3898703506722541</v>
      </c>
      <c r="E218" s="28"/>
    </row>
    <row r="219" spans="1:5" x14ac:dyDescent="0.25">
      <c r="A219" s="11">
        <v>0.3</v>
      </c>
      <c r="B219" s="11">
        <v>0.1</v>
      </c>
      <c r="C219" s="7">
        <v>0.9</v>
      </c>
      <c r="D219" s="28">
        <v>3.3945628903584084</v>
      </c>
      <c r="E219" s="28"/>
    </row>
    <row r="220" spans="1:5" x14ac:dyDescent="0.25">
      <c r="A220" s="11">
        <v>0.3</v>
      </c>
      <c r="B220" s="11">
        <v>0.2</v>
      </c>
      <c r="C220" s="7">
        <v>0.1</v>
      </c>
      <c r="D220" s="28">
        <v>3.363589295759438</v>
      </c>
      <c r="E220" s="28"/>
    </row>
    <row r="221" spans="1:5" x14ac:dyDescent="0.25">
      <c r="A221" s="11">
        <v>0.3</v>
      </c>
      <c r="B221" s="11">
        <v>0.2</v>
      </c>
      <c r="C221" s="7">
        <v>0.2</v>
      </c>
      <c r="D221" s="28">
        <v>3.3669904224864164</v>
      </c>
      <c r="E221" s="28"/>
    </row>
    <row r="222" spans="1:5" x14ac:dyDescent="0.25">
      <c r="A222" s="11">
        <v>0.3</v>
      </c>
      <c r="B222" s="11">
        <v>0.2</v>
      </c>
      <c r="C222" s="7">
        <v>0.3</v>
      </c>
      <c r="D222" s="28">
        <v>3.3704180021397008</v>
      </c>
      <c r="E222" s="28"/>
    </row>
    <row r="223" spans="1:5" x14ac:dyDescent="0.25">
      <c r="A223" s="11">
        <v>0.3</v>
      </c>
      <c r="B223" s="11">
        <v>0.2</v>
      </c>
      <c r="C223" s="7">
        <v>0.4</v>
      </c>
      <c r="D223" s="28">
        <v>3.3738719284945273</v>
      </c>
      <c r="E223" s="28"/>
    </row>
    <row r="224" spans="1:5" x14ac:dyDescent="0.25">
      <c r="A224" s="11">
        <v>0.3</v>
      </c>
      <c r="B224" s="11">
        <v>0.2</v>
      </c>
      <c r="C224" s="7">
        <v>0.5</v>
      </c>
      <c r="D224" s="28">
        <v>3.3773520958941132</v>
      </c>
      <c r="E224" s="28"/>
    </row>
    <row r="225" spans="1:5" x14ac:dyDescent="0.25">
      <c r="A225" s="11">
        <v>0.3</v>
      </c>
      <c r="B225" s="11">
        <v>0.2</v>
      </c>
      <c r="C225" s="7">
        <v>0.6</v>
      </c>
      <c r="D225" s="28">
        <v>3.3808583992458705</v>
      </c>
      <c r="E225" s="28"/>
    </row>
    <row r="226" spans="1:5" x14ac:dyDescent="0.25">
      <c r="A226" s="11">
        <v>0.3</v>
      </c>
      <c r="B226" s="11">
        <v>0.2</v>
      </c>
      <c r="C226" s="7">
        <v>0.7</v>
      </c>
      <c r="D226" s="28">
        <v>3.3843907340176402</v>
      </c>
      <c r="E226" s="28"/>
    </row>
    <row r="227" spans="1:5" x14ac:dyDescent="0.25">
      <c r="A227" s="11">
        <v>0.3</v>
      </c>
      <c r="B227" s="11">
        <v>0.2</v>
      </c>
      <c r="C227" s="7">
        <v>0.8</v>
      </c>
      <c r="D227" s="28">
        <v>3.3879489962339679</v>
      </c>
      <c r="E227" s="28"/>
    </row>
    <row r="228" spans="1:5" x14ac:dyDescent="0.25">
      <c r="A228" s="11">
        <v>0.3</v>
      </c>
      <c r="B228" s="11">
        <v>0.2</v>
      </c>
      <c r="C228" s="7">
        <v>0.9</v>
      </c>
      <c r="D228" s="28">
        <v>3.3915330824723924</v>
      </c>
      <c r="E228" s="28"/>
    </row>
    <row r="229" spans="1:5" x14ac:dyDescent="0.25">
      <c r="A229" s="11">
        <v>0.3</v>
      </c>
      <c r="B229" s="11">
        <v>0.3</v>
      </c>
      <c r="C229" s="7">
        <v>0.1</v>
      </c>
      <c r="D229" s="28">
        <v>3.3196836794222055</v>
      </c>
      <c r="E229" s="28"/>
    </row>
    <row r="230" spans="1:5" x14ac:dyDescent="0.25">
      <c r="A230" s="11">
        <v>0.3</v>
      </c>
      <c r="B230" s="11">
        <v>0.3</v>
      </c>
      <c r="C230" s="7">
        <v>0.2</v>
      </c>
      <c r="D230" s="28">
        <v>3.3219304557467875</v>
      </c>
      <c r="E230" s="28"/>
    </row>
    <row r="231" spans="1:5" x14ac:dyDescent="0.25">
      <c r="A231" s="11">
        <v>0.3</v>
      </c>
      <c r="B231" s="11">
        <v>0.3</v>
      </c>
      <c r="C231" s="7">
        <v>0.3</v>
      </c>
      <c r="D231" s="28">
        <v>3.3242065203312179</v>
      </c>
      <c r="E231" s="28"/>
    </row>
    <row r="232" spans="1:5" x14ac:dyDescent="0.25">
      <c r="A232" s="11">
        <v>0.3</v>
      </c>
      <c r="B232" s="11">
        <v>0.3</v>
      </c>
      <c r="C232" s="7">
        <v>0.4</v>
      </c>
      <c r="D232" s="28">
        <v>3.3265117555651229</v>
      </c>
      <c r="E232" s="28"/>
    </row>
    <row r="233" spans="1:5" x14ac:dyDescent="0.25">
      <c r="A233" s="11">
        <v>0.3</v>
      </c>
      <c r="B233" s="11">
        <v>0.3</v>
      </c>
      <c r="C233" s="7">
        <v>0.5</v>
      </c>
      <c r="D233" s="28">
        <v>3.3288460444669892</v>
      </c>
      <c r="E233" s="28"/>
    </row>
    <row r="234" spans="1:5" x14ac:dyDescent="0.25">
      <c r="A234" s="11">
        <v>0.3</v>
      </c>
      <c r="B234" s="11">
        <v>0.3</v>
      </c>
      <c r="C234" s="7">
        <v>0.6</v>
      </c>
      <c r="D234" s="28">
        <v>3.3312092706799814</v>
      </c>
      <c r="E234" s="28"/>
    </row>
    <row r="235" spans="1:5" x14ac:dyDescent="0.25">
      <c r="A235" s="11">
        <v>0.3</v>
      </c>
      <c r="B235" s="11">
        <v>0.3</v>
      </c>
      <c r="C235" s="7">
        <v>0.7</v>
      </c>
      <c r="D235" s="28">
        <v>3.3336013184677413</v>
      </c>
      <c r="E235" s="28"/>
    </row>
    <row r="236" spans="1:5" x14ac:dyDescent="0.25">
      <c r="A236" s="11">
        <v>0.3</v>
      </c>
      <c r="B236" s="11">
        <v>0.3</v>
      </c>
      <c r="C236" s="7">
        <v>0.8</v>
      </c>
      <c r="D236" s="28">
        <v>3.3360220727103029</v>
      </c>
      <c r="E236" s="28"/>
    </row>
    <row r="237" spans="1:5" x14ac:dyDescent="0.25">
      <c r="A237" s="11">
        <v>0.3</v>
      </c>
      <c r="B237" s="11">
        <v>0.3</v>
      </c>
      <c r="C237" s="7">
        <v>0.9</v>
      </c>
      <c r="D237" s="28">
        <v>3.3384714188999607</v>
      </c>
      <c r="E237" s="28"/>
    </row>
    <row r="238" spans="1:5" x14ac:dyDescent="0.25">
      <c r="A238" s="11">
        <v>0.3</v>
      </c>
      <c r="B238" s="11">
        <v>0.4</v>
      </c>
      <c r="C238" s="7">
        <v>0.1</v>
      </c>
      <c r="D238" s="28">
        <v>3.2425051544775942</v>
      </c>
      <c r="E238" s="28"/>
    </row>
    <row r="239" spans="1:5" x14ac:dyDescent="0.25">
      <c r="A239" s="11">
        <v>0.3</v>
      </c>
      <c r="B239" s="11">
        <v>0.4</v>
      </c>
      <c r="C239" s="7">
        <v>0.2</v>
      </c>
      <c r="D239" s="28">
        <v>3.2435788556382503</v>
      </c>
      <c r="E239" s="28"/>
    </row>
    <row r="240" spans="1:5" x14ac:dyDescent="0.25">
      <c r="A240" s="11">
        <v>0.3</v>
      </c>
      <c r="B240" s="11">
        <v>0.4</v>
      </c>
      <c r="C240" s="7">
        <v>0.3</v>
      </c>
      <c r="D240" s="28">
        <v>3.244684776905677</v>
      </c>
      <c r="E240" s="28"/>
    </row>
    <row r="241" spans="1:5" x14ac:dyDescent="0.25">
      <c r="A241" s="11">
        <v>0.3</v>
      </c>
      <c r="B241" s="11">
        <v>0.4</v>
      </c>
      <c r="C241" s="7">
        <v>0.4</v>
      </c>
      <c r="D241" s="28">
        <v>3.2458227888963389</v>
      </c>
      <c r="E241" s="28"/>
    </row>
    <row r="242" spans="1:5" x14ac:dyDescent="0.25">
      <c r="A242" s="11">
        <v>0.3</v>
      </c>
      <c r="B242" s="11">
        <v>0.4</v>
      </c>
      <c r="C242" s="7">
        <v>0.5</v>
      </c>
      <c r="D242" s="28">
        <v>3.246992762918508</v>
      </c>
      <c r="E242" s="28"/>
    </row>
    <row r="243" spans="1:5" x14ac:dyDescent="0.25">
      <c r="A243" s="11">
        <v>0.3</v>
      </c>
      <c r="B243" s="11">
        <v>0.4</v>
      </c>
      <c r="C243" s="7">
        <v>0.6</v>
      </c>
      <c r="D243" s="28">
        <v>3.2481945709676525</v>
      </c>
      <c r="E243" s="28"/>
    </row>
    <row r="244" spans="1:5" x14ac:dyDescent="0.25">
      <c r="A244" s="11">
        <v>0.3</v>
      </c>
      <c r="B244" s="11">
        <v>0.4</v>
      </c>
      <c r="C244" s="7">
        <v>0.7</v>
      </c>
      <c r="D244" s="28">
        <v>3.2494280857218572</v>
      </c>
      <c r="E244" s="28"/>
    </row>
    <row r="245" spans="1:5" x14ac:dyDescent="0.25">
      <c r="A245" s="11">
        <v>0.3</v>
      </c>
      <c r="B245" s="11">
        <v>0.4</v>
      </c>
      <c r="C245" s="7">
        <v>0.8</v>
      </c>
      <c r="D245" s="28">
        <v>3.2506931805372763</v>
      </c>
      <c r="E245" s="28"/>
    </row>
    <row r="246" spans="1:5" x14ac:dyDescent="0.25">
      <c r="A246" s="11">
        <v>0.3</v>
      </c>
      <c r="B246" s="11">
        <v>0.4</v>
      </c>
      <c r="C246" s="7">
        <v>0.9</v>
      </c>
      <c r="D246" s="28">
        <v>3.2519897294436206</v>
      </c>
      <c r="E246" s="28"/>
    </row>
    <row r="247" spans="1:5" x14ac:dyDescent="0.25">
      <c r="A247" s="11">
        <v>0.3</v>
      </c>
      <c r="B247" s="11">
        <v>0.5</v>
      </c>
      <c r="C247" s="7">
        <v>0.1</v>
      </c>
      <c r="D247" s="28">
        <v>3.1495050680859618</v>
      </c>
      <c r="E247" s="28"/>
    </row>
    <row r="248" spans="1:5" x14ac:dyDescent="0.25">
      <c r="A248" s="11">
        <v>0.3</v>
      </c>
      <c r="B248" s="11">
        <v>0.5</v>
      </c>
      <c r="C248" s="7">
        <v>0.2</v>
      </c>
      <c r="D248" s="28">
        <v>3.149393014028357</v>
      </c>
      <c r="E248" s="28"/>
    </row>
    <row r="249" spans="1:5" x14ac:dyDescent="0.25">
      <c r="A249" s="11">
        <v>0.3</v>
      </c>
      <c r="B249" s="11">
        <v>0.5</v>
      </c>
      <c r="C249" s="7">
        <v>0.3</v>
      </c>
      <c r="D249" s="28">
        <v>3.1493162083203443</v>
      </c>
      <c r="E249" s="28"/>
    </row>
    <row r="250" spans="1:5" x14ac:dyDescent="0.25">
      <c r="A250" s="11">
        <v>0.3</v>
      </c>
      <c r="B250" s="11">
        <v>0.5</v>
      </c>
      <c r="C250" s="7">
        <v>0.4</v>
      </c>
      <c r="D250" s="28">
        <v>3.1492745094181256</v>
      </c>
      <c r="E250" s="28"/>
    </row>
    <row r="251" spans="1:5" x14ac:dyDescent="0.25">
      <c r="A251" s="11">
        <v>0.3</v>
      </c>
      <c r="B251" s="11">
        <v>0.5</v>
      </c>
      <c r="C251" s="7">
        <v>0.5</v>
      </c>
      <c r="D251" s="28">
        <v>3.1492677765347348</v>
      </c>
      <c r="E251" s="28"/>
    </row>
    <row r="252" spans="1:5" x14ac:dyDescent="0.25">
      <c r="A252" s="11">
        <v>0.3</v>
      </c>
      <c r="B252" s="11">
        <v>0.5</v>
      </c>
      <c r="C252" s="7">
        <v>0.6</v>
      </c>
      <c r="D252" s="28">
        <v>3.1492958696349906</v>
      </c>
      <c r="E252" s="28"/>
    </row>
    <row r="253" spans="1:5" x14ac:dyDescent="0.25">
      <c r="A253" s="11">
        <v>0.3</v>
      </c>
      <c r="B253" s="11">
        <v>0.5</v>
      </c>
      <c r="C253" s="7">
        <v>0.7</v>
      </c>
      <c r="D253" s="28">
        <v>3.1493586494304888</v>
      </c>
      <c r="E253" s="28"/>
    </row>
    <row r="254" spans="1:5" x14ac:dyDescent="0.25">
      <c r="A254" s="11">
        <v>0.3</v>
      </c>
      <c r="B254" s="11">
        <v>0.5</v>
      </c>
      <c r="C254" s="7">
        <v>0.8</v>
      </c>
      <c r="D254" s="28">
        <v>3.1494559773746107</v>
      </c>
      <c r="E254" s="28"/>
    </row>
    <row r="255" spans="1:5" x14ac:dyDescent="0.25">
      <c r="A255" s="11">
        <v>0.3</v>
      </c>
      <c r="B255" s="11">
        <v>0.5</v>
      </c>
      <c r="C255" s="7">
        <v>0.9</v>
      </c>
      <c r="D255" s="28">
        <v>3.1495877156576224</v>
      </c>
      <c r="E255" s="28"/>
    </row>
    <row r="256" spans="1:5" x14ac:dyDescent="0.25">
      <c r="A256" s="11">
        <v>0.3</v>
      </c>
      <c r="B256" s="11">
        <v>0.6</v>
      </c>
      <c r="C256" s="7">
        <v>0.1</v>
      </c>
      <c r="D256" s="28">
        <v>3.0820908669346534</v>
      </c>
      <c r="E256" s="28"/>
    </row>
    <row r="257" spans="1:5" x14ac:dyDescent="0.25">
      <c r="A257" s="11">
        <v>0.3</v>
      </c>
      <c r="B257" s="11">
        <v>0.6</v>
      </c>
      <c r="C257" s="7">
        <v>0.2</v>
      </c>
      <c r="D257" s="28">
        <v>3.0807847484207658</v>
      </c>
      <c r="E257" s="28"/>
    </row>
    <row r="258" spans="1:5" x14ac:dyDescent="0.25">
      <c r="A258" s="11">
        <v>0.3</v>
      </c>
      <c r="B258" s="11">
        <v>0.6</v>
      </c>
      <c r="C258" s="7">
        <v>0.3</v>
      </c>
      <c r="D258" s="28">
        <v>3.0795170027778624</v>
      </c>
      <c r="E258" s="28"/>
    </row>
    <row r="259" spans="1:5" x14ac:dyDescent="0.25">
      <c r="A259" s="11">
        <v>0.3</v>
      </c>
      <c r="B259" s="11">
        <v>0.6</v>
      </c>
      <c r="C259" s="7">
        <v>0.4</v>
      </c>
      <c r="D259" s="28">
        <v>3.0782874759152734</v>
      </c>
      <c r="E259" s="28"/>
    </row>
    <row r="260" spans="1:5" x14ac:dyDescent="0.25">
      <c r="A260" s="11">
        <v>0.3</v>
      </c>
      <c r="B260" s="11">
        <v>0.6</v>
      </c>
      <c r="C260" s="7">
        <v>0.5</v>
      </c>
      <c r="D260" s="28">
        <v>3.0770960145662438</v>
      </c>
      <c r="E260" s="28"/>
    </row>
    <row r="261" spans="1:5" x14ac:dyDescent="0.25">
      <c r="A261" s="11">
        <v>0.3</v>
      </c>
      <c r="B261" s="11">
        <v>0.6</v>
      </c>
      <c r="C261" s="7">
        <v>0.6</v>
      </c>
      <c r="D261" s="28">
        <v>3.0759424662824517</v>
      </c>
      <c r="E261" s="28"/>
    </row>
    <row r="262" spans="1:5" x14ac:dyDescent="0.25">
      <c r="A262" s="11">
        <v>0.3</v>
      </c>
      <c r="B262" s="11">
        <v>0.6</v>
      </c>
      <c r="C262" s="7">
        <v>0.7</v>
      </c>
      <c r="D262" s="28">
        <v>3.0748266794285257</v>
      </c>
      <c r="E262" s="28"/>
    </row>
    <row r="263" spans="1:5" x14ac:dyDescent="0.25">
      <c r="A263" s="11">
        <v>0.3</v>
      </c>
      <c r="B263" s="11">
        <v>0.6</v>
      </c>
      <c r="C263" s="7">
        <v>0.8</v>
      </c>
      <c r="D263" s="28">
        <v>3.0737485031766725</v>
      </c>
      <c r="E263" s="28"/>
    </row>
    <row r="264" spans="1:5" x14ac:dyDescent="0.25">
      <c r="A264" s="11">
        <v>0.3</v>
      </c>
      <c r="B264" s="11">
        <v>0.6</v>
      </c>
      <c r="C264" s="7">
        <v>0.9</v>
      </c>
      <c r="D264" s="28">
        <v>3.0727077875012738</v>
      </c>
      <c r="E264" s="28"/>
    </row>
    <row r="265" spans="1:5" x14ac:dyDescent="0.25">
      <c r="A265" s="11">
        <v>0.3</v>
      </c>
      <c r="B265" s="11">
        <v>0.7</v>
      </c>
      <c r="C265" s="7">
        <v>0.1</v>
      </c>
      <c r="D265" s="28">
        <v>3.0081169609142582</v>
      </c>
      <c r="E265" s="28"/>
    </row>
    <row r="266" spans="1:5" x14ac:dyDescent="0.25">
      <c r="A266" s="11">
        <v>0.3</v>
      </c>
      <c r="B266" s="11">
        <v>0.7</v>
      </c>
      <c r="C266" s="7">
        <v>0.2</v>
      </c>
      <c r="D266" s="28">
        <v>3.0056115728820045</v>
      </c>
      <c r="E266" s="28"/>
    </row>
    <row r="267" spans="1:5" x14ac:dyDescent="0.25">
      <c r="A267" s="11">
        <v>0.3</v>
      </c>
      <c r="B267" s="11">
        <v>0.7</v>
      </c>
      <c r="C267" s="7">
        <v>0.3</v>
      </c>
      <c r="D267" s="28">
        <v>3.0031477784035858</v>
      </c>
      <c r="E267" s="28"/>
    </row>
    <row r="268" spans="1:5" x14ac:dyDescent="0.25">
      <c r="A268" s="11">
        <v>0.3</v>
      </c>
      <c r="B268" s="11">
        <v>0.7</v>
      </c>
      <c r="C268" s="7">
        <v>0.4</v>
      </c>
      <c r="D268" s="28">
        <v>3.0007254104553027</v>
      </c>
      <c r="E268" s="28"/>
    </row>
    <row r="269" spans="1:5" x14ac:dyDescent="0.25">
      <c r="A269" s="11">
        <v>0.3</v>
      </c>
      <c r="B269" s="11">
        <v>0.7</v>
      </c>
      <c r="C269" s="7">
        <v>0.5</v>
      </c>
      <c r="D269" s="28">
        <v>2.9983443029065353</v>
      </c>
      <c r="E269" s="28"/>
    </row>
    <row r="270" spans="1:5" x14ac:dyDescent="0.25">
      <c r="A270" s="11">
        <v>0.3</v>
      </c>
      <c r="B270" s="11">
        <v>0.7</v>
      </c>
      <c r="C270" s="7">
        <v>0.6</v>
      </c>
      <c r="D270" s="28">
        <v>2.99600429051379</v>
      </c>
      <c r="E270" s="28"/>
    </row>
    <row r="271" spans="1:5" x14ac:dyDescent="0.25">
      <c r="A271" s="11">
        <v>0.3</v>
      </c>
      <c r="B271" s="11">
        <v>0.7</v>
      </c>
      <c r="C271" s="7">
        <v>0.7</v>
      </c>
      <c r="D271" s="28">
        <v>2.9937052089147511</v>
      </c>
      <c r="E271" s="28"/>
    </row>
    <row r="272" spans="1:5" x14ac:dyDescent="0.25">
      <c r="A272" s="11">
        <v>0.3</v>
      </c>
      <c r="B272" s="11">
        <v>0.7</v>
      </c>
      <c r="C272" s="7">
        <v>0.8</v>
      </c>
      <c r="D272" s="28">
        <v>2.9914468946224559</v>
      </c>
      <c r="E272" s="28"/>
    </row>
    <row r="273" spans="1:5" x14ac:dyDescent="0.25">
      <c r="A273" s="11">
        <v>0.3</v>
      </c>
      <c r="B273" s="11">
        <v>0.7</v>
      </c>
      <c r="C273" s="7">
        <v>0.9</v>
      </c>
      <c r="D273" s="28">
        <v>2.989229185019441</v>
      </c>
      <c r="E273" s="28"/>
    </row>
    <row r="274" spans="1:5" x14ac:dyDescent="0.25">
      <c r="A274" s="11">
        <v>0.3</v>
      </c>
      <c r="B274" s="11">
        <v>0.8</v>
      </c>
      <c r="C274" s="7">
        <v>0.1</v>
      </c>
      <c r="D274" s="28">
        <v>2.9412204863043652</v>
      </c>
      <c r="E274" s="28"/>
    </row>
    <row r="275" spans="1:5" x14ac:dyDescent="0.25">
      <c r="A275" s="11">
        <v>0.3</v>
      </c>
      <c r="B275" s="11">
        <v>0.8</v>
      </c>
      <c r="C275" s="7">
        <v>0.2</v>
      </c>
      <c r="D275" s="28">
        <v>2.9375127815611703</v>
      </c>
      <c r="E275" s="28"/>
    </row>
    <row r="276" spans="1:5" x14ac:dyDescent="0.25">
      <c r="A276" s="11">
        <v>0.3</v>
      </c>
      <c r="B276" s="11">
        <v>0.8</v>
      </c>
      <c r="C276" s="7">
        <v>0.3</v>
      </c>
      <c r="D276" s="28">
        <v>2.9338499870991912</v>
      </c>
      <c r="E276" s="28"/>
    </row>
    <row r="277" spans="1:5" x14ac:dyDescent="0.25">
      <c r="A277" s="11">
        <v>0.3</v>
      </c>
      <c r="B277" s="11">
        <v>0.8</v>
      </c>
      <c r="C277" s="7">
        <v>0.4</v>
      </c>
      <c r="D277" s="28">
        <v>2.9302319225760232</v>
      </c>
      <c r="E277" s="28"/>
    </row>
    <row r="278" spans="1:5" x14ac:dyDescent="0.25">
      <c r="A278" s="11">
        <v>0.3</v>
      </c>
      <c r="B278" s="11">
        <v>0.8</v>
      </c>
      <c r="C278" s="7">
        <v>0.5</v>
      </c>
      <c r="D278" s="28">
        <v>2.9266584086135765</v>
      </c>
      <c r="E278" s="28"/>
    </row>
    <row r="279" spans="1:5" x14ac:dyDescent="0.25">
      <c r="A279" s="11">
        <v>0.3</v>
      </c>
      <c r="B279" s="11">
        <v>0.8</v>
      </c>
      <c r="C279" s="7">
        <v>0.6</v>
      </c>
      <c r="D279" s="28">
        <v>2.9231292667915882</v>
      </c>
      <c r="E279" s="28"/>
    </row>
    <row r="280" spans="1:5" x14ac:dyDescent="0.25">
      <c r="A280" s="11">
        <v>0.3</v>
      </c>
      <c r="B280" s="11">
        <v>0.8</v>
      </c>
      <c r="C280" s="7">
        <v>0.7</v>
      </c>
      <c r="D280" s="28">
        <v>2.9196443196412853</v>
      </c>
      <c r="E280" s="28"/>
    </row>
    <row r="281" spans="1:5" x14ac:dyDescent="0.25">
      <c r="A281" s="11">
        <v>0.3</v>
      </c>
      <c r="B281" s="11">
        <v>0.8</v>
      </c>
      <c r="C281" s="7">
        <v>0.8</v>
      </c>
      <c r="D281" s="28">
        <v>2.9162033906390237</v>
      </c>
      <c r="E281" s="28"/>
    </row>
    <row r="282" spans="1:5" x14ac:dyDescent="0.25">
      <c r="A282" s="11">
        <v>0.3</v>
      </c>
      <c r="B282" s="11">
        <v>0.8</v>
      </c>
      <c r="C282" s="7">
        <v>0.9</v>
      </c>
      <c r="D282" s="28">
        <v>2.9128063041999996</v>
      </c>
      <c r="E282" s="28"/>
    </row>
    <row r="283" spans="1:5" x14ac:dyDescent="0.25">
      <c r="A283" s="11">
        <v>0.3</v>
      </c>
      <c r="B283" s="11">
        <v>0.9</v>
      </c>
      <c r="C283" s="7">
        <v>0.1</v>
      </c>
      <c r="D283" s="28">
        <v>2.8668564471204174</v>
      </c>
      <c r="E283" s="28"/>
    </row>
    <row r="284" spans="1:5" x14ac:dyDescent="0.25">
      <c r="A284" s="11">
        <v>0.3</v>
      </c>
      <c r="B284" s="11">
        <v>0.9</v>
      </c>
      <c r="C284" s="7">
        <v>0.2</v>
      </c>
      <c r="D284" s="28">
        <v>2.8619448386564956</v>
      </c>
      <c r="E284" s="28"/>
    </row>
    <row r="285" spans="1:5" x14ac:dyDescent="0.25">
      <c r="A285" s="11">
        <v>0.3</v>
      </c>
      <c r="B285" s="11">
        <v>0.9</v>
      </c>
      <c r="C285" s="7">
        <v>0.3</v>
      </c>
      <c r="D285" s="28">
        <v>2.8570815531289484</v>
      </c>
      <c r="E285" s="28"/>
    </row>
    <row r="286" spans="1:5" x14ac:dyDescent="0.25">
      <c r="A286" s="11">
        <v>0.3</v>
      </c>
      <c r="B286" s="11">
        <v>0.9</v>
      </c>
      <c r="C286" s="7">
        <v>0.4</v>
      </c>
      <c r="D286" s="28">
        <v>2.8522663964914816</v>
      </c>
      <c r="E286" s="28"/>
    </row>
    <row r="287" spans="1:5" x14ac:dyDescent="0.25">
      <c r="A287" s="11">
        <v>0.3</v>
      </c>
      <c r="B287" s="11">
        <v>0.9</v>
      </c>
      <c r="C287" s="7">
        <v>0.5</v>
      </c>
      <c r="D287" s="28">
        <v>2.8474991757353574</v>
      </c>
      <c r="E287" s="28"/>
    </row>
    <row r="288" spans="1:5" x14ac:dyDescent="0.25">
      <c r="A288" s="11">
        <v>0.3</v>
      </c>
      <c r="B288" s="11">
        <v>0.9</v>
      </c>
      <c r="C288" s="7">
        <v>0.6</v>
      </c>
      <c r="D288" s="28">
        <v>2.8427796988824721</v>
      </c>
      <c r="E288" s="28"/>
    </row>
    <row r="289" spans="1:5" x14ac:dyDescent="0.25">
      <c r="A289" s="11">
        <v>0.3</v>
      </c>
      <c r="B289" s="11">
        <v>0.9</v>
      </c>
      <c r="C289" s="7">
        <v>0.7</v>
      </c>
      <c r="D289" s="28">
        <v>2.8381077749784991</v>
      </c>
      <c r="E289" s="28"/>
    </row>
    <row r="290" spans="1:5" x14ac:dyDescent="0.25">
      <c r="A290" s="11">
        <v>0.3</v>
      </c>
      <c r="B290" s="11">
        <v>0.9</v>
      </c>
      <c r="C290" s="7">
        <v>0.8</v>
      </c>
      <c r="D290" s="28">
        <v>2.8334832140860637</v>
      </c>
      <c r="E290" s="28"/>
    </row>
    <row r="291" spans="1:5" ht="15.75" thickBot="1" x14ac:dyDescent="0.3">
      <c r="A291" s="11">
        <v>0.3</v>
      </c>
      <c r="B291" s="27">
        <v>0.9</v>
      </c>
      <c r="C291" s="9">
        <v>0.9</v>
      </c>
      <c r="D291" s="28">
        <v>2.8289058272779837</v>
      </c>
      <c r="E291" s="28"/>
    </row>
    <row r="292" spans="1:5" x14ac:dyDescent="0.25">
      <c r="A292" s="11">
        <v>0.4</v>
      </c>
      <c r="B292" s="11">
        <v>0.1</v>
      </c>
      <c r="C292" s="7">
        <v>0.1</v>
      </c>
      <c r="D292" s="28">
        <v>3.2347310617485658</v>
      </c>
      <c r="E292" s="28"/>
    </row>
    <row r="293" spans="1:5" x14ac:dyDescent="0.25">
      <c r="A293" s="11">
        <v>0.4</v>
      </c>
      <c r="B293" s="11">
        <v>0.1</v>
      </c>
      <c r="C293" s="7">
        <v>0.2</v>
      </c>
      <c r="D293" s="28">
        <v>3.2348393508497071</v>
      </c>
      <c r="E293" s="28"/>
    </row>
    <row r="294" spans="1:5" x14ac:dyDescent="0.25">
      <c r="A294" s="11">
        <v>0.4</v>
      </c>
      <c r="B294" s="11">
        <v>0.1</v>
      </c>
      <c r="C294" s="7">
        <v>0.3</v>
      </c>
      <c r="D294" s="28">
        <v>3.2349727414039582</v>
      </c>
      <c r="E294" s="28"/>
    </row>
    <row r="295" spans="1:5" x14ac:dyDescent="0.25">
      <c r="A295" s="11">
        <v>0.4</v>
      </c>
      <c r="B295" s="11">
        <v>0.1</v>
      </c>
      <c r="C295" s="7">
        <v>0.4</v>
      </c>
      <c r="D295" s="28">
        <v>3.2351311471122481</v>
      </c>
      <c r="E295" s="28"/>
    </row>
    <row r="296" spans="1:5" x14ac:dyDescent="0.25">
      <c r="A296" s="11">
        <v>0.4</v>
      </c>
      <c r="B296" s="11">
        <v>0.1</v>
      </c>
      <c r="C296" s="7">
        <v>0.5</v>
      </c>
      <c r="D296" s="28">
        <v>3.235314482070649</v>
      </c>
      <c r="E296" s="28"/>
    </row>
    <row r="297" spans="1:5" x14ac:dyDescent="0.25">
      <c r="A297" s="11">
        <v>0.4</v>
      </c>
      <c r="B297" s="11">
        <v>0.1</v>
      </c>
      <c r="C297" s="7">
        <v>0.6</v>
      </c>
      <c r="D297" s="28">
        <v>3.2355226607681029</v>
      </c>
      <c r="E297" s="28"/>
    </row>
    <row r="298" spans="1:5" x14ac:dyDescent="0.25">
      <c r="A298" s="11">
        <v>0.4</v>
      </c>
      <c r="B298" s="11">
        <v>0.1</v>
      </c>
      <c r="C298" s="7">
        <v>0.7</v>
      </c>
      <c r="D298" s="28">
        <v>3.2357555980842068</v>
      </c>
      <c r="E298" s="28"/>
    </row>
    <row r="299" spans="1:5" x14ac:dyDescent="0.25">
      <c r="A299" s="11">
        <v>0.4</v>
      </c>
      <c r="B299" s="11">
        <v>0.1</v>
      </c>
      <c r="C299" s="7">
        <v>0.8</v>
      </c>
      <c r="D299" s="28">
        <v>3.2360132092869804</v>
      </c>
      <c r="E299" s="28"/>
    </row>
    <row r="300" spans="1:5" x14ac:dyDescent="0.25">
      <c r="A300" s="11">
        <v>0.4</v>
      </c>
      <c r="B300" s="11">
        <v>0.1</v>
      </c>
      <c r="C300" s="7">
        <v>0.9</v>
      </c>
      <c r="D300" s="28">
        <v>3.2362954100306158</v>
      </c>
      <c r="E300" s="28"/>
    </row>
    <row r="301" spans="1:5" x14ac:dyDescent="0.25">
      <c r="A301" s="11">
        <v>0.4</v>
      </c>
      <c r="B301" s="11">
        <v>0.2</v>
      </c>
      <c r="C301" s="7">
        <v>0.1</v>
      </c>
      <c r="D301" s="28">
        <v>3.1903887684843357</v>
      </c>
      <c r="E301" s="28"/>
    </row>
    <row r="302" spans="1:5" x14ac:dyDescent="0.25">
      <c r="A302" s="11">
        <v>0.4</v>
      </c>
      <c r="B302" s="11">
        <v>0.2</v>
      </c>
      <c r="C302" s="7">
        <v>0.2</v>
      </c>
      <c r="D302" s="28">
        <v>3.1891639010348456</v>
      </c>
      <c r="E302" s="28"/>
    </row>
    <row r="303" spans="1:5" x14ac:dyDescent="0.25">
      <c r="A303" s="11">
        <v>0.4</v>
      </c>
      <c r="B303" s="11">
        <v>0.2</v>
      </c>
      <c r="C303" s="7">
        <v>0.3</v>
      </c>
      <c r="D303" s="28">
        <v>3.1879671766946172</v>
      </c>
      <c r="E303" s="28"/>
    </row>
    <row r="304" spans="1:5" x14ac:dyDescent="0.25">
      <c r="A304" s="11">
        <v>0.4</v>
      </c>
      <c r="B304" s="11">
        <v>0.2</v>
      </c>
      <c r="C304" s="7">
        <v>0.4</v>
      </c>
      <c r="D304" s="28">
        <v>3.1867984987073381</v>
      </c>
      <c r="E304" s="28"/>
    </row>
    <row r="305" spans="1:5" x14ac:dyDescent="0.25">
      <c r="A305" s="11">
        <v>0.4</v>
      </c>
      <c r="B305" s="11">
        <v>0.2</v>
      </c>
      <c r="C305" s="7">
        <v>0.5</v>
      </c>
      <c r="D305" s="28">
        <v>3.1856577707596974</v>
      </c>
      <c r="E305" s="28"/>
    </row>
    <row r="306" spans="1:5" x14ac:dyDescent="0.25">
      <c r="A306" s="11">
        <v>0.4</v>
      </c>
      <c r="B306" s="11">
        <v>0.2</v>
      </c>
      <c r="C306" s="7">
        <v>0.6</v>
      </c>
      <c r="D306" s="28">
        <v>3.1845448969788985</v>
      </c>
      <c r="E306" s="28"/>
    </row>
    <row r="307" spans="1:5" x14ac:dyDescent="0.25">
      <c r="A307" s="11">
        <v>0.4</v>
      </c>
      <c r="B307" s="11">
        <v>0.2</v>
      </c>
      <c r="C307" s="7">
        <v>0.7</v>
      </c>
      <c r="D307" s="28">
        <v>3.1834597819301056</v>
      </c>
      <c r="E307" s="28"/>
    </row>
    <row r="308" spans="1:5" x14ac:dyDescent="0.25">
      <c r="A308" s="11">
        <v>0.4</v>
      </c>
      <c r="B308" s="11">
        <v>0.2</v>
      </c>
      <c r="C308" s="7">
        <v>0.8</v>
      </c>
      <c r="D308" s="28">
        <v>3.1824023306139755</v>
      </c>
      <c r="E308" s="28"/>
    </row>
    <row r="309" spans="1:5" x14ac:dyDescent="0.25">
      <c r="A309" s="11">
        <v>0.4</v>
      </c>
      <c r="B309" s="11">
        <v>0.2</v>
      </c>
      <c r="C309" s="7">
        <v>0.9</v>
      </c>
      <c r="D309" s="28">
        <v>3.1813724484641508</v>
      </c>
      <c r="E309" s="28"/>
    </row>
    <row r="310" spans="1:5" x14ac:dyDescent="0.25">
      <c r="A310" s="11">
        <v>0.4</v>
      </c>
      <c r="B310" s="11">
        <v>0.3</v>
      </c>
      <c r="C310" s="7">
        <v>0.1</v>
      </c>
      <c r="D310" s="28">
        <v>3.1310381413021626</v>
      </c>
      <c r="E310" s="28"/>
    </row>
    <row r="311" spans="1:5" x14ac:dyDescent="0.25">
      <c r="A311" s="11">
        <v>0.4</v>
      </c>
      <c r="B311" s="11">
        <v>0.3</v>
      </c>
      <c r="C311" s="7">
        <v>0.2</v>
      </c>
      <c r="D311" s="28">
        <v>3.1284620512194796</v>
      </c>
      <c r="E311" s="28"/>
    </row>
    <row r="312" spans="1:5" x14ac:dyDescent="0.25">
      <c r="A312" s="11">
        <v>0.4</v>
      </c>
      <c r="B312" s="11">
        <v>0.3</v>
      </c>
      <c r="C312" s="7">
        <v>0.3</v>
      </c>
      <c r="D312" s="28">
        <v>3.1259172717563981</v>
      </c>
      <c r="E312" s="28"/>
    </row>
    <row r="313" spans="1:5" x14ac:dyDescent="0.25">
      <c r="A313" s="11">
        <v>0.4</v>
      </c>
      <c r="B313" s="11">
        <v>0.3</v>
      </c>
      <c r="C313" s="7">
        <v>0.4</v>
      </c>
      <c r="D313" s="28">
        <v>3.1234036952666666</v>
      </c>
      <c r="E313" s="28"/>
    </row>
    <row r="314" spans="1:5" x14ac:dyDescent="0.25">
      <c r="A314" s="11">
        <v>0.4</v>
      </c>
      <c r="B314" s="11">
        <v>0.3</v>
      </c>
      <c r="C314" s="7">
        <v>0.5</v>
      </c>
      <c r="D314" s="28">
        <v>3.1209212145969034</v>
      </c>
      <c r="E314" s="28"/>
    </row>
    <row r="315" spans="1:5" x14ac:dyDescent="0.25">
      <c r="A315" s="11">
        <v>0.4</v>
      </c>
      <c r="B315" s="11">
        <v>0.3</v>
      </c>
      <c r="C315" s="7">
        <v>0.6</v>
      </c>
      <c r="D315" s="28">
        <v>3.1184697230838156</v>
      </c>
      <c r="E315" s="28"/>
    </row>
    <row r="316" spans="1:5" x14ac:dyDescent="0.25">
      <c r="A316" s="11">
        <v>0.4</v>
      </c>
      <c r="B316" s="11">
        <v>0.3</v>
      </c>
      <c r="C316" s="7">
        <v>0.7</v>
      </c>
      <c r="D316" s="28">
        <v>3.1160491145513718</v>
      </c>
      <c r="E316" s="28"/>
    </row>
    <row r="317" spans="1:5" x14ac:dyDescent="0.25">
      <c r="A317" s="11">
        <v>0.4</v>
      </c>
      <c r="B317" s="11">
        <v>0.3</v>
      </c>
      <c r="C317" s="7">
        <v>0.8</v>
      </c>
      <c r="D317" s="28">
        <v>3.1136592833080297</v>
      </c>
      <c r="E317" s="28"/>
    </row>
    <row r="318" spans="1:5" x14ac:dyDescent="0.25">
      <c r="A318" s="11">
        <v>0.4</v>
      </c>
      <c r="B318" s="11">
        <v>0.3</v>
      </c>
      <c r="C318" s="7">
        <v>0.9</v>
      </c>
      <c r="D318" s="28">
        <v>3.1113001241439764</v>
      </c>
      <c r="E318" s="28"/>
    </row>
    <row r="319" spans="1:5" x14ac:dyDescent="0.25">
      <c r="A319" s="11">
        <v>0.4</v>
      </c>
      <c r="B319" s="11">
        <v>0.4</v>
      </c>
      <c r="C319" s="7">
        <v>0.1</v>
      </c>
      <c r="D319" s="28">
        <v>3.0709372643331467</v>
      </c>
      <c r="E319" s="28"/>
    </row>
    <row r="320" spans="1:5" x14ac:dyDescent="0.25">
      <c r="A320" s="11">
        <v>0.4</v>
      </c>
      <c r="B320" s="11">
        <v>0.4</v>
      </c>
      <c r="C320" s="7">
        <v>0.2</v>
      </c>
      <c r="D320" s="28">
        <v>3.0669992338310124</v>
      </c>
      <c r="E320" s="28"/>
    </row>
    <row r="321" spans="1:5" x14ac:dyDescent="0.25">
      <c r="A321" s="11">
        <v>0.4</v>
      </c>
      <c r="B321" s="11">
        <v>0.4</v>
      </c>
      <c r="C321" s="7">
        <v>0.3</v>
      </c>
      <c r="D321" s="28">
        <v>3.0630958071379681</v>
      </c>
      <c r="E321" s="28"/>
    </row>
    <row r="322" spans="1:5" x14ac:dyDescent="0.25">
      <c r="A322" s="11">
        <v>0.4</v>
      </c>
      <c r="B322" s="11">
        <v>0.4</v>
      </c>
      <c r="C322" s="7">
        <v>0.4</v>
      </c>
      <c r="D322" s="28">
        <v>3.0592268652857304</v>
      </c>
      <c r="E322" s="28"/>
    </row>
    <row r="323" spans="1:5" x14ac:dyDescent="0.25">
      <c r="A323" s="11">
        <v>0.4</v>
      </c>
      <c r="B323" s="11">
        <v>0.4</v>
      </c>
      <c r="C323" s="7">
        <v>0.5</v>
      </c>
      <c r="D323" s="28">
        <v>3.055392289850754</v>
      </c>
      <c r="E323" s="28"/>
    </row>
    <row r="324" spans="1:5" x14ac:dyDescent="0.25">
      <c r="A324" s="11">
        <v>0.4</v>
      </c>
      <c r="B324" s="11">
        <v>0.4</v>
      </c>
      <c r="C324" s="7">
        <v>0.6</v>
      </c>
      <c r="D324" s="28">
        <v>3.0515919629510844</v>
      </c>
      <c r="E324" s="28"/>
    </row>
    <row r="325" spans="1:5" x14ac:dyDescent="0.25">
      <c r="A325" s="11">
        <v>0.4</v>
      </c>
      <c r="B325" s="11">
        <v>0.4</v>
      </c>
      <c r="C325" s="7">
        <v>0.7</v>
      </c>
      <c r="D325" s="28">
        <v>3.0478257672433169</v>
      </c>
      <c r="E325" s="28"/>
    </row>
    <row r="326" spans="1:5" x14ac:dyDescent="0.25">
      <c r="A326" s="11">
        <v>0.4</v>
      </c>
      <c r="B326" s="11">
        <v>0.4</v>
      </c>
      <c r="C326" s="7">
        <v>0.8</v>
      </c>
      <c r="D326" s="28">
        <v>3.0440935859194784</v>
      </c>
      <c r="E326" s="28"/>
    </row>
    <row r="327" spans="1:5" x14ac:dyDescent="0.25">
      <c r="A327" s="11">
        <v>0.4</v>
      </c>
      <c r="B327" s="11">
        <v>0.4</v>
      </c>
      <c r="C327" s="7">
        <v>0.9</v>
      </c>
      <c r="D327" s="28">
        <v>3.0403953027040078</v>
      </c>
      <c r="E327" s="28"/>
    </row>
    <row r="328" spans="1:5" x14ac:dyDescent="0.25">
      <c r="A328" s="11">
        <v>0.4</v>
      </c>
      <c r="B328" s="11">
        <v>0.5</v>
      </c>
      <c r="C328" s="7">
        <v>0.1</v>
      </c>
      <c r="D328" s="28">
        <v>2.9982857471985151</v>
      </c>
      <c r="E328" s="28"/>
    </row>
    <row r="329" spans="1:5" x14ac:dyDescent="0.25">
      <c r="A329" s="11">
        <v>0.4</v>
      </c>
      <c r="B329" s="11">
        <v>0.5</v>
      </c>
      <c r="C329" s="7">
        <v>0.2</v>
      </c>
      <c r="D329" s="28">
        <v>2.9929797378846712</v>
      </c>
      <c r="E329" s="28"/>
    </row>
    <row r="330" spans="1:5" x14ac:dyDescent="0.25">
      <c r="A330" s="11">
        <v>0.4</v>
      </c>
      <c r="B330" s="11">
        <v>0.5</v>
      </c>
      <c r="C330" s="7">
        <v>0.3</v>
      </c>
      <c r="D330" s="28">
        <v>2.9877117510738289</v>
      </c>
      <c r="E330" s="28"/>
    </row>
    <row r="331" spans="1:5" x14ac:dyDescent="0.25">
      <c r="A331" s="11">
        <v>0.4</v>
      </c>
      <c r="B331" s="11">
        <v>0.5</v>
      </c>
      <c r="C331" s="7">
        <v>0.4</v>
      </c>
      <c r="D331" s="28">
        <v>2.9824816560442016</v>
      </c>
      <c r="E331" s="28"/>
    </row>
    <row r="332" spans="1:5" x14ac:dyDescent="0.25">
      <c r="A332" s="11">
        <v>0.4</v>
      </c>
      <c r="B332" s="11">
        <v>0.5</v>
      </c>
      <c r="C332" s="7">
        <v>0.5</v>
      </c>
      <c r="D332" s="28">
        <v>2.9772893226725499</v>
      </c>
      <c r="E332" s="28"/>
    </row>
    <row r="333" spans="1:5" x14ac:dyDescent="0.25">
      <c r="A333" s="11">
        <v>0.4</v>
      </c>
      <c r="B333" s="11">
        <v>0.5</v>
      </c>
      <c r="C333" s="7">
        <v>0.6</v>
      </c>
      <c r="D333" s="28">
        <v>2.9721346214307491</v>
      </c>
      <c r="E333" s="28"/>
    </row>
    <row r="334" spans="1:5" x14ac:dyDescent="0.25">
      <c r="A334" s="11">
        <v>0.4</v>
      </c>
      <c r="B334" s="11">
        <v>0.5</v>
      </c>
      <c r="C334" s="7">
        <v>0.7</v>
      </c>
      <c r="D334" s="28">
        <v>2.9670174233824</v>
      </c>
      <c r="E334" s="28"/>
    </row>
    <row r="335" spans="1:5" x14ac:dyDescent="0.25">
      <c r="A335" s="11">
        <v>0.4</v>
      </c>
      <c r="B335" s="11">
        <v>0.5</v>
      </c>
      <c r="C335" s="7">
        <v>0.8</v>
      </c>
      <c r="D335" s="28">
        <v>2.9619376001794624</v>
      </c>
      <c r="E335" s="28"/>
    </row>
    <row r="336" spans="1:5" x14ac:dyDescent="0.25">
      <c r="A336" s="11">
        <v>0.4</v>
      </c>
      <c r="B336" s="11">
        <v>0.5</v>
      </c>
      <c r="C336" s="7">
        <v>0.9</v>
      </c>
      <c r="D336" s="28">
        <v>2.9568950240588907</v>
      </c>
      <c r="E336" s="28"/>
    </row>
    <row r="337" spans="1:5" x14ac:dyDescent="0.25">
      <c r="A337" s="11">
        <v>0.4</v>
      </c>
      <c r="B337" s="11">
        <v>0.6</v>
      </c>
      <c r="C337" s="7">
        <v>0.1</v>
      </c>
      <c r="D337" s="28">
        <v>2.922988096914374</v>
      </c>
      <c r="E337" s="28"/>
    </row>
    <row r="338" spans="1:5" x14ac:dyDescent="0.25">
      <c r="A338" s="11">
        <v>0.4</v>
      </c>
      <c r="B338" s="11">
        <v>0.6</v>
      </c>
      <c r="C338" s="7">
        <v>0.2</v>
      </c>
      <c r="D338" s="28">
        <v>2.9163109400769982</v>
      </c>
      <c r="E338" s="28"/>
    </row>
    <row r="339" spans="1:5" x14ac:dyDescent="0.25">
      <c r="A339" s="11">
        <v>0.4</v>
      </c>
      <c r="B339" s="11">
        <v>0.6</v>
      </c>
      <c r="C339" s="7">
        <v>0.3</v>
      </c>
      <c r="D339" s="28">
        <v>2.9096753497665899</v>
      </c>
      <c r="E339" s="28"/>
    </row>
    <row r="340" spans="1:5" x14ac:dyDescent="0.25">
      <c r="A340" s="11">
        <v>0.4</v>
      </c>
      <c r="B340" s="11">
        <v>0.6</v>
      </c>
      <c r="C340" s="7">
        <v>0.4</v>
      </c>
      <c r="D340" s="28">
        <v>2.9030811830769494</v>
      </c>
      <c r="E340" s="28"/>
    </row>
    <row r="341" spans="1:5" x14ac:dyDescent="0.25">
      <c r="A341" s="11">
        <v>0.4</v>
      </c>
      <c r="B341" s="11">
        <v>0.6</v>
      </c>
      <c r="C341" s="7">
        <v>0.5</v>
      </c>
      <c r="D341" s="28">
        <v>2.8965282977562454</v>
      </c>
      <c r="E341" s="28"/>
    </row>
    <row r="342" spans="1:5" x14ac:dyDescent="0.25">
      <c r="A342" s="11">
        <v>0.4</v>
      </c>
      <c r="B342" s="11">
        <v>0.6</v>
      </c>
      <c r="C342" s="7">
        <v>0.6</v>
      </c>
      <c r="D342" s="28">
        <v>2.8900165522032144</v>
      </c>
      <c r="E342" s="28"/>
    </row>
    <row r="343" spans="1:5" x14ac:dyDescent="0.25">
      <c r="A343" s="11">
        <v>0.4</v>
      </c>
      <c r="B343" s="11">
        <v>0.6</v>
      </c>
      <c r="C343" s="7">
        <v>0.7</v>
      </c>
      <c r="D343" s="28">
        <v>2.8835458054634868</v>
      </c>
      <c r="E343" s="28"/>
    </row>
    <row r="344" spans="1:5" x14ac:dyDescent="0.25">
      <c r="A344" s="11">
        <v>0.4</v>
      </c>
      <c r="B344" s="11">
        <v>0.6</v>
      </c>
      <c r="C344" s="7">
        <v>0.8</v>
      </c>
      <c r="D344" s="28">
        <v>2.8771159172258649</v>
      </c>
      <c r="E344" s="28"/>
    </row>
    <row r="345" spans="1:5" x14ac:dyDescent="0.25">
      <c r="A345" s="11">
        <v>0.4</v>
      </c>
      <c r="B345" s="11">
        <v>0.6</v>
      </c>
      <c r="C345" s="7">
        <v>0.9</v>
      </c>
      <c r="D345" s="28">
        <v>2.8707267478186975</v>
      </c>
      <c r="E345" s="28"/>
    </row>
    <row r="346" spans="1:5" x14ac:dyDescent="0.25">
      <c r="A346" s="11">
        <v>0.4</v>
      </c>
      <c r="B346" s="11">
        <v>0.7</v>
      </c>
      <c r="C346" s="7">
        <v>0.1</v>
      </c>
      <c r="D346" s="28">
        <v>2.8512272946360571</v>
      </c>
      <c r="E346" s="28"/>
    </row>
    <row r="347" spans="1:5" x14ac:dyDescent="0.25">
      <c r="A347" s="11">
        <v>0.4</v>
      </c>
      <c r="B347" s="11">
        <v>0.7</v>
      </c>
      <c r="C347" s="7">
        <v>0.2</v>
      </c>
      <c r="D347" s="28">
        <v>2.8431774897686313</v>
      </c>
      <c r="E347" s="28"/>
    </row>
    <row r="348" spans="1:5" x14ac:dyDescent="0.25">
      <c r="A348" s="11">
        <v>0.4</v>
      </c>
      <c r="B348" s="11">
        <v>0.7</v>
      </c>
      <c r="C348" s="7">
        <v>0.3</v>
      </c>
      <c r="D348" s="28">
        <v>2.8351729206080929</v>
      </c>
      <c r="E348" s="28"/>
    </row>
    <row r="349" spans="1:5" x14ac:dyDescent="0.25">
      <c r="A349" s="11">
        <v>0.4</v>
      </c>
      <c r="B349" s="11">
        <v>0.7</v>
      </c>
      <c r="C349" s="7">
        <v>0.4</v>
      </c>
      <c r="D349" s="28">
        <v>2.8272134316335782</v>
      </c>
      <c r="E349" s="28"/>
    </row>
    <row r="350" spans="1:5" x14ac:dyDescent="0.25">
      <c r="A350" s="11">
        <v>0.4</v>
      </c>
      <c r="B350" s="11">
        <v>0.7</v>
      </c>
      <c r="C350" s="7">
        <v>0.5</v>
      </c>
      <c r="D350" s="28">
        <v>2.8192988680363258</v>
      </c>
      <c r="E350" s="28"/>
    </row>
    <row r="351" spans="1:5" x14ac:dyDescent="0.25">
      <c r="A351" s="11">
        <v>0.4</v>
      </c>
      <c r="B351" s="11">
        <v>0.7</v>
      </c>
      <c r="C351" s="7">
        <v>0.6</v>
      </c>
      <c r="D351" s="28">
        <v>2.811429075715576</v>
      </c>
      <c r="E351" s="28"/>
    </row>
    <row r="352" spans="1:5" x14ac:dyDescent="0.25">
      <c r="A352" s="11">
        <v>0.4</v>
      </c>
      <c r="B352" s="11">
        <v>0.7</v>
      </c>
      <c r="C352" s="7">
        <v>0.7</v>
      </c>
      <c r="D352" s="28">
        <v>2.803603901274565</v>
      </c>
      <c r="E352" s="28"/>
    </row>
    <row r="353" spans="1:5" x14ac:dyDescent="0.25">
      <c r="A353" s="11">
        <v>0.4</v>
      </c>
      <c r="B353" s="11">
        <v>0.7</v>
      </c>
      <c r="C353" s="7">
        <v>0.8</v>
      </c>
      <c r="D353" s="28">
        <v>2.7958231920164964</v>
      </c>
      <c r="E353" s="28"/>
    </row>
    <row r="354" spans="1:5" x14ac:dyDescent="0.25">
      <c r="A354" s="11">
        <v>0.4</v>
      </c>
      <c r="B354" s="11">
        <v>0.7</v>
      </c>
      <c r="C354" s="7">
        <v>0.9</v>
      </c>
      <c r="D354" s="28">
        <v>2.7880867959405435</v>
      </c>
      <c r="E354" s="28"/>
    </row>
    <row r="355" spans="1:5" x14ac:dyDescent="0.25">
      <c r="A355" s="11">
        <v>0.4</v>
      </c>
      <c r="B355" s="11">
        <v>0.8</v>
      </c>
      <c r="C355" s="7">
        <v>0.1</v>
      </c>
      <c r="D355" s="28">
        <v>2.7865396954708683</v>
      </c>
      <c r="E355" s="28"/>
    </row>
    <row r="356" spans="1:5" x14ac:dyDescent="0.25">
      <c r="A356" s="11">
        <v>0.4</v>
      </c>
      <c r="B356" s="11">
        <v>0.8</v>
      </c>
      <c r="C356" s="7">
        <v>0.2</v>
      </c>
      <c r="D356" s="28">
        <v>2.777116628642013</v>
      </c>
      <c r="E356" s="28"/>
    </row>
    <row r="357" spans="1:5" x14ac:dyDescent="0.25">
      <c r="A357" s="11">
        <v>0.4</v>
      </c>
      <c r="B357" s="11">
        <v>0.8</v>
      </c>
      <c r="C357" s="7">
        <v>0.3</v>
      </c>
      <c r="D357" s="28">
        <v>2.7677425916822047</v>
      </c>
      <c r="E357" s="28"/>
    </row>
    <row r="358" spans="1:5" x14ac:dyDescent="0.25">
      <c r="A358" s="11">
        <v>0.4</v>
      </c>
      <c r="B358" s="11">
        <v>0.8</v>
      </c>
      <c r="C358" s="7">
        <v>0.4</v>
      </c>
      <c r="D358" s="28">
        <v>2.7584174160262065</v>
      </c>
      <c r="E358" s="28"/>
    </row>
    <row r="359" spans="1:5" x14ac:dyDescent="0.25">
      <c r="A359" s="11">
        <v>0.4</v>
      </c>
      <c r="B359" s="11">
        <v>0.8</v>
      </c>
      <c r="C359" s="7">
        <v>0.5</v>
      </c>
      <c r="D359" s="28">
        <v>2.7491409338805992</v>
      </c>
      <c r="E359" s="28"/>
    </row>
    <row r="360" spans="1:5" x14ac:dyDescent="0.25">
      <c r="A360" s="11">
        <v>0.4</v>
      </c>
      <c r="B360" s="11">
        <v>0.8</v>
      </c>
      <c r="C360" s="7">
        <v>0.6</v>
      </c>
      <c r="D360" s="28">
        <v>2.7399129782193783</v>
      </c>
      <c r="E360" s="28"/>
    </row>
    <row r="361" spans="1:5" x14ac:dyDescent="0.25">
      <c r="A361" s="11">
        <v>0.4</v>
      </c>
      <c r="B361" s="11">
        <v>0.8</v>
      </c>
      <c r="C361" s="7">
        <v>0.7</v>
      </c>
      <c r="D361" s="28">
        <v>2.7307333827795617</v>
      </c>
      <c r="E361" s="28"/>
    </row>
    <row r="362" spans="1:5" x14ac:dyDescent="0.25">
      <c r="A362" s="11">
        <v>0.4</v>
      </c>
      <c r="B362" s="11">
        <v>0.8</v>
      </c>
      <c r="C362" s="7">
        <v>0.8</v>
      </c>
      <c r="D362" s="28">
        <v>2.7216019820568507</v>
      </c>
      <c r="E362" s="28"/>
    </row>
    <row r="363" spans="1:5" x14ac:dyDescent="0.25">
      <c r="A363" s="11">
        <v>0.4</v>
      </c>
      <c r="B363" s="11">
        <v>0.8</v>
      </c>
      <c r="C363" s="7">
        <v>0.9</v>
      </c>
      <c r="D363" s="28">
        <v>2.7125186113012902</v>
      </c>
      <c r="E363" s="28"/>
    </row>
    <row r="364" spans="1:5" x14ac:dyDescent="0.25">
      <c r="A364" s="11">
        <v>0.4</v>
      </c>
      <c r="B364" s="11">
        <v>0.9</v>
      </c>
      <c r="C364" s="7">
        <v>0.1</v>
      </c>
      <c r="D364" s="28">
        <v>2.7306510090901837</v>
      </c>
      <c r="E364" s="28"/>
    </row>
    <row r="365" spans="1:5" x14ac:dyDescent="0.25">
      <c r="A365" s="11">
        <v>0.4</v>
      </c>
      <c r="B365" s="11">
        <v>0.9</v>
      </c>
      <c r="C365" s="7">
        <v>0.2</v>
      </c>
      <c r="D365" s="28">
        <v>2.7198544532081725</v>
      </c>
      <c r="E365" s="28"/>
    </row>
    <row r="366" spans="1:5" x14ac:dyDescent="0.25">
      <c r="A366" s="11">
        <v>0.4</v>
      </c>
      <c r="B366" s="11">
        <v>0.9</v>
      </c>
      <c r="C366" s="7">
        <v>0.3</v>
      </c>
      <c r="D366" s="28">
        <v>2.7091108461661624</v>
      </c>
      <c r="E366" s="28"/>
    </row>
    <row r="367" spans="1:5" x14ac:dyDescent="0.25">
      <c r="A367" s="11">
        <v>0.4</v>
      </c>
      <c r="B367" s="11">
        <v>0.9</v>
      </c>
      <c r="C367" s="7">
        <v>0.4</v>
      </c>
      <c r="D367" s="28">
        <v>2.6984200059254508</v>
      </c>
      <c r="E367" s="28"/>
    </row>
    <row r="368" spans="1:5" x14ac:dyDescent="0.25">
      <c r="A368" s="11">
        <v>0.4</v>
      </c>
      <c r="B368" s="11">
        <v>0.9</v>
      </c>
      <c r="C368" s="7">
        <v>0.5</v>
      </c>
      <c r="D368" s="28">
        <v>2.687781751280848</v>
      </c>
      <c r="E368" s="28"/>
    </row>
    <row r="369" spans="1:5" x14ac:dyDescent="0.25">
      <c r="A369" s="11">
        <v>0.4</v>
      </c>
      <c r="B369" s="11">
        <v>0.9</v>
      </c>
      <c r="C369" s="7">
        <v>0.6</v>
      </c>
      <c r="D369" s="28">
        <v>2.6771959018559128</v>
      </c>
      <c r="E369" s="28"/>
    </row>
    <row r="370" spans="1:5" x14ac:dyDescent="0.25">
      <c r="A370" s="11">
        <v>0.4</v>
      </c>
      <c r="B370" s="11">
        <v>0.9</v>
      </c>
      <c r="C370" s="7">
        <v>0.7</v>
      </c>
      <c r="D370" s="28">
        <v>2.6666622780982165</v>
      </c>
      <c r="E370" s="28"/>
    </row>
    <row r="371" spans="1:5" x14ac:dyDescent="0.25">
      <c r="A371" s="11">
        <v>0.4</v>
      </c>
      <c r="B371" s="11">
        <v>0.9</v>
      </c>
      <c r="C371" s="7">
        <v>0.8</v>
      </c>
      <c r="D371" s="28">
        <v>2.6561807012746539</v>
      </c>
      <c r="E371" s="28"/>
    </row>
    <row r="372" spans="1:5" ht="15.75" thickBot="1" x14ac:dyDescent="0.3">
      <c r="A372" s="98">
        <v>0.4</v>
      </c>
      <c r="B372" s="103">
        <v>0.9</v>
      </c>
      <c r="C372" s="101">
        <v>0.9</v>
      </c>
      <c r="D372" s="99">
        <v>2.6457509934667653</v>
      </c>
      <c r="E372" s="28"/>
    </row>
    <row r="373" spans="1:5" x14ac:dyDescent="0.25">
      <c r="A373" s="11">
        <v>0.5</v>
      </c>
      <c r="B373" s="11">
        <v>0.1</v>
      </c>
      <c r="C373" s="7">
        <v>0.1</v>
      </c>
      <c r="D373" s="28">
        <v>3.1353548630326187</v>
      </c>
      <c r="E373" s="28"/>
    </row>
    <row r="374" spans="1:5" x14ac:dyDescent="0.25">
      <c r="A374" s="11">
        <v>0.5</v>
      </c>
      <c r="B374" s="11">
        <v>0.1</v>
      </c>
      <c r="C374" s="7">
        <v>0.2</v>
      </c>
      <c r="D374" s="28">
        <v>3.1322837851476675</v>
      </c>
      <c r="E374" s="28"/>
    </row>
    <row r="375" spans="1:5" x14ac:dyDescent="0.25">
      <c r="A375" s="11">
        <v>0.5</v>
      </c>
      <c r="B375" s="11">
        <v>0.1</v>
      </c>
      <c r="C375" s="7">
        <v>0.3</v>
      </c>
      <c r="D375" s="28">
        <v>3.1292361200996299</v>
      </c>
      <c r="E375" s="28"/>
    </row>
    <row r="376" spans="1:5" x14ac:dyDescent="0.25">
      <c r="A376" s="11">
        <v>0.5</v>
      </c>
      <c r="B376" s="11">
        <v>0.1</v>
      </c>
      <c r="C376" s="7">
        <v>0.4</v>
      </c>
      <c r="D376" s="28">
        <v>3.1262118008873134</v>
      </c>
      <c r="E376" s="28"/>
    </row>
    <row r="377" spans="1:5" x14ac:dyDescent="0.25">
      <c r="A377" s="11">
        <v>0.5</v>
      </c>
      <c r="B377" s="11">
        <v>0.1</v>
      </c>
      <c r="C377" s="7">
        <v>0.5</v>
      </c>
      <c r="D377" s="28">
        <v>3.1232107607649042</v>
      </c>
      <c r="E377" s="28"/>
    </row>
    <row r="378" spans="1:5" x14ac:dyDescent="0.25">
      <c r="A378" s="11">
        <v>0.5</v>
      </c>
      <c r="B378" s="11">
        <v>0.1</v>
      </c>
      <c r="C378" s="7">
        <v>0.6</v>
      </c>
      <c r="D378" s="28">
        <v>3.1202329332407972</v>
      </c>
      <c r="E378" s="28"/>
    </row>
    <row r="379" spans="1:5" x14ac:dyDescent="0.25">
      <c r="A379" s="11">
        <v>0.5</v>
      </c>
      <c r="B379" s="11">
        <v>0.1</v>
      </c>
      <c r="C379" s="7">
        <v>0.7</v>
      </c>
      <c r="D379" s="28">
        <v>3.1172782520763747</v>
      </c>
      <c r="E379" s="28"/>
    </row>
    <row r="380" spans="1:5" x14ac:dyDescent="0.25">
      <c r="A380" s="11">
        <v>0.5</v>
      </c>
      <c r="B380" s="11">
        <v>0.1</v>
      </c>
      <c r="C380" s="7">
        <v>0.8</v>
      </c>
      <c r="D380" s="28">
        <v>3.1143466512847806</v>
      </c>
      <c r="E380" s="28"/>
    </row>
    <row r="381" spans="1:5" x14ac:dyDescent="0.25">
      <c r="A381" s="11">
        <v>0.5</v>
      </c>
      <c r="B381" s="11">
        <v>0.1</v>
      </c>
      <c r="C381" s="7">
        <v>0.9</v>
      </c>
      <c r="D381" s="28">
        <v>3.1114380651297662</v>
      </c>
      <c r="E381" s="28"/>
    </row>
    <row r="382" spans="1:5" x14ac:dyDescent="0.25">
      <c r="A382" s="11">
        <v>0.5</v>
      </c>
      <c r="B382" s="11">
        <v>0.2</v>
      </c>
      <c r="C382" s="7">
        <v>0.1</v>
      </c>
      <c r="D382" s="28">
        <v>3.1250373672606497</v>
      </c>
      <c r="E382" s="28"/>
    </row>
    <row r="383" spans="1:5" x14ac:dyDescent="0.25">
      <c r="A383" s="11">
        <v>0.5</v>
      </c>
      <c r="B383" s="11">
        <v>0.2</v>
      </c>
      <c r="C383" s="7">
        <v>0.2</v>
      </c>
      <c r="D383" s="28">
        <v>3.1205558577208747</v>
      </c>
      <c r="E383" s="28"/>
    </row>
    <row r="384" spans="1:5" x14ac:dyDescent="0.25">
      <c r="A384" s="11">
        <v>0.5</v>
      </c>
      <c r="B384" s="11">
        <v>0.2</v>
      </c>
      <c r="C384" s="7">
        <v>0.3</v>
      </c>
      <c r="D384" s="28">
        <v>3.1161007128065705</v>
      </c>
      <c r="E384" s="28"/>
    </row>
    <row r="385" spans="1:5" x14ac:dyDescent="0.25">
      <c r="A385" s="11">
        <v>0.5</v>
      </c>
      <c r="B385" s="11">
        <v>0.2</v>
      </c>
      <c r="C385" s="7">
        <v>0.4</v>
      </c>
      <c r="D385" s="28">
        <v>3.1116718570693149</v>
      </c>
      <c r="E385" s="28"/>
    </row>
    <row r="386" spans="1:5" x14ac:dyDescent="0.25">
      <c r="A386" s="11">
        <v>0.5</v>
      </c>
      <c r="B386" s="11">
        <v>0.2</v>
      </c>
      <c r="C386" s="7">
        <v>0.5</v>
      </c>
      <c r="D386" s="28">
        <v>3.1072692153482664</v>
      </c>
      <c r="E386" s="28"/>
    </row>
    <row r="387" spans="1:5" x14ac:dyDescent="0.25">
      <c r="A387" s="11">
        <v>0.5</v>
      </c>
      <c r="B387" s="11">
        <v>0.2</v>
      </c>
      <c r="C387" s="7">
        <v>0.6</v>
      </c>
      <c r="D387" s="28">
        <v>3.1028927127688686</v>
      </c>
      <c r="E387" s="28"/>
    </row>
    <row r="388" spans="1:5" x14ac:dyDescent="0.25">
      <c r="A388" s="11">
        <v>0.5</v>
      </c>
      <c r="B388" s="11">
        <v>0.2</v>
      </c>
      <c r="C388" s="7">
        <v>0.7</v>
      </c>
      <c r="D388" s="28">
        <v>3.098542274741396</v>
      </c>
      <c r="E388" s="28"/>
    </row>
    <row r="389" spans="1:5" x14ac:dyDescent="0.25">
      <c r="A389" s="11">
        <v>0.5</v>
      </c>
      <c r="B389" s="11">
        <v>0.2</v>
      </c>
      <c r="C389" s="7">
        <v>0.8</v>
      </c>
      <c r="D389" s="28">
        <v>3.0942178269596847</v>
      </c>
      <c r="E389" s="28"/>
    </row>
    <row r="390" spans="1:5" x14ac:dyDescent="0.25">
      <c r="A390" s="11">
        <v>0.5</v>
      </c>
      <c r="B390" s="11">
        <v>0.2</v>
      </c>
      <c r="C390" s="7">
        <v>0.9</v>
      </c>
      <c r="D390" s="28">
        <v>3.0899192953997359</v>
      </c>
      <c r="E390" s="28"/>
    </row>
    <row r="391" spans="1:5" x14ac:dyDescent="0.25">
      <c r="A391" s="11">
        <v>0.5</v>
      </c>
      <c r="B391" s="11">
        <v>0.3</v>
      </c>
      <c r="C391" s="7">
        <v>0.1</v>
      </c>
      <c r="D391" s="28">
        <v>3.0755207429932132</v>
      </c>
      <c r="E391" s="28"/>
    </row>
    <row r="392" spans="1:5" x14ac:dyDescent="0.25">
      <c r="A392" s="11">
        <v>0.5</v>
      </c>
      <c r="B392" s="11">
        <v>0.3</v>
      </c>
      <c r="C392" s="7">
        <v>0.2</v>
      </c>
      <c r="D392" s="28">
        <v>3.0696189829711216</v>
      </c>
      <c r="E392" s="28"/>
    </row>
    <row r="393" spans="1:5" x14ac:dyDescent="0.25">
      <c r="A393" s="11">
        <v>0.5</v>
      </c>
      <c r="B393" s="11">
        <v>0.3</v>
      </c>
      <c r="C393" s="7">
        <v>0.3</v>
      </c>
      <c r="D393" s="28">
        <v>3.0637466757261738</v>
      </c>
      <c r="E393" s="28"/>
    </row>
    <row r="394" spans="1:5" x14ac:dyDescent="0.25">
      <c r="A394" s="11">
        <v>0.5</v>
      </c>
      <c r="B394" s="11">
        <v>0.3</v>
      </c>
      <c r="C394" s="7">
        <v>0.4</v>
      </c>
      <c r="D394" s="28">
        <v>3.0579037369724915</v>
      </c>
      <c r="E394" s="28"/>
    </row>
    <row r="395" spans="1:5" x14ac:dyDescent="0.25">
      <c r="A395" s="11">
        <v>0.5</v>
      </c>
      <c r="B395" s="11">
        <v>0.3</v>
      </c>
      <c r="C395" s="7">
        <v>0.5</v>
      </c>
      <c r="D395" s="28">
        <v>3.052090082745472</v>
      </c>
      <c r="E395" s="28"/>
    </row>
    <row r="396" spans="1:5" x14ac:dyDescent="0.25">
      <c r="A396" s="11">
        <v>0.5</v>
      </c>
      <c r="B396" s="11">
        <v>0.3</v>
      </c>
      <c r="C396" s="7">
        <v>0.6</v>
      </c>
      <c r="D396" s="28">
        <v>3.0463056294003135</v>
      </c>
      <c r="E396" s="28"/>
    </row>
    <row r="397" spans="1:5" x14ac:dyDescent="0.25">
      <c r="A397" s="11">
        <v>0.5</v>
      </c>
      <c r="B397" s="11">
        <v>0.3</v>
      </c>
      <c r="C397" s="7">
        <v>0.7</v>
      </c>
      <c r="D397" s="28">
        <v>3.0405502936104343</v>
      </c>
      <c r="E397" s="28"/>
    </row>
    <row r="398" spans="1:5" x14ac:dyDescent="0.25">
      <c r="A398" s="11">
        <v>0.5</v>
      </c>
      <c r="B398" s="11">
        <v>0.3</v>
      </c>
      <c r="C398" s="7">
        <v>0.8</v>
      </c>
      <c r="D398" s="28">
        <v>3.0348239923659874</v>
      </c>
      <c r="E398" s="28"/>
    </row>
    <row r="399" spans="1:5" x14ac:dyDescent="0.25">
      <c r="A399" s="11">
        <v>0.5</v>
      </c>
      <c r="B399" s="11">
        <v>0.3</v>
      </c>
      <c r="C399" s="7">
        <v>0.9</v>
      </c>
      <c r="D399" s="28">
        <v>3.0291266429723809</v>
      </c>
      <c r="E399" s="28"/>
    </row>
    <row r="400" spans="1:5" x14ac:dyDescent="0.25">
      <c r="A400" s="11">
        <v>0.5</v>
      </c>
      <c r="B400" s="11">
        <v>0.4</v>
      </c>
      <c r="C400" s="7">
        <v>0.1</v>
      </c>
      <c r="D400" s="28">
        <v>3.0102414842010874</v>
      </c>
      <c r="E400" s="28"/>
    </row>
    <row r="401" spans="1:5" x14ac:dyDescent="0.25">
      <c r="A401" s="11">
        <v>0.5</v>
      </c>
      <c r="B401" s="11">
        <v>0.4</v>
      </c>
      <c r="C401" s="7">
        <v>0.2</v>
      </c>
      <c r="D401" s="28">
        <v>3.002914557641081</v>
      </c>
      <c r="E401" s="28"/>
    </row>
    <row r="402" spans="1:5" x14ac:dyDescent="0.25">
      <c r="A402" s="11">
        <v>0.5</v>
      </c>
      <c r="B402" s="11">
        <v>0.4</v>
      </c>
      <c r="C402" s="7">
        <v>0.3</v>
      </c>
      <c r="D402" s="28">
        <v>2.9956203081755217</v>
      </c>
      <c r="E402" s="28"/>
    </row>
    <row r="403" spans="1:5" x14ac:dyDescent="0.25">
      <c r="A403" s="11">
        <v>0.5</v>
      </c>
      <c r="B403" s="11">
        <v>0.4</v>
      </c>
      <c r="C403" s="7">
        <v>0.4</v>
      </c>
      <c r="D403" s="28">
        <v>2.9883586422913919</v>
      </c>
      <c r="E403" s="28"/>
    </row>
    <row r="404" spans="1:5" x14ac:dyDescent="0.25">
      <c r="A404" s="11">
        <v>0.5</v>
      </c>
      <c r="B404" s="11">
        <v>0.4</v>
      </c>
      <c r="C404" s="7">
        <v>0.5</v>
      </c>
      <c r="D404" s="28">
        <v>2.981129466832154</v>
      </c>
      <c r="E404" s="28"/>
    </row>
    <row r="405" spans="1:5" x14ac:dyDescent="0.25">
      <c r="A405" s="11">
        <v>0.5</v>
      </c>
      <c r="B405" s="11">
        <v>0.4</v>
      </c>
      <c r="C405" s="7">
        <v>0.6</v>
      </c>
      <c r="D405" s="28">
        <v>2.9739326889960513</v>
      </c>
      <c r="E405" s="28"/>
    </row>
    <row r="406" spans="1:5" x14ac:dyDescent="0.25">
      <c r="A406" s="11">
        <v>0.5</v>
      </c>
      <c r="B406" s="11">
        <v>0.4</v>
      </c>
      <c r="C406" s="7">
        <v>0.7</v>
      </c>
      <c r="D406" s="28">
        <v>2.9667682163343945</v>
      </c>
      <c r="E406" s="28"/>
    </row>
    <row r="407" spans="1:5" x14ac:dyDescent="0.25">
      <c r="A407" s="11">
        <v>0.5</v>
      </c>
      <c r="B407" s="11">
        <v>0.4</v>
      </c>
      <c r="C407" s="7">
        <v>0.8</v>
      </c>
      <c r="D407" s="28">
        <v>2.9596359567499233</v>
      </c>
      <c r="E407" s="28"/>
    </row>
    <row r="408" spans="1:5" x14ac:dyDescent="0.25">
      <c r="A408" s="11">
        <v>0.5</v>
      </c>
      <c r="B408" s="11">
        <v>0.4</v>
      </c>
      <c r="C408" s="7">
        <v>0.9</v>
      </c>
      <c r="D408" s="28">
        <v>2.9525358184951034</v>
      </c>
      <c r="E408" s="28"/>
    </row>
    <row r="409" spans="1:5" x14ac:dyDescent="0.25">
      <c r="A409" s="11">
        <v>0.5</v>
      </c>
      <c r="B409" s="11">
        <v>0.5</v>
      </c>
      <c r="C409" s="7">
        <v>0.1</v>
      </c>
      <c r="D409" s="28">
        <v>2.9434004961417202</v>
      </c>
      <c r="E409" s="28"/>
    </row>
    <row r="410" spans="1:5" x14ac:dyDescent="0.25">
      <c r="A410" s="11">
        <v>0.5</v>
      </c>
      <c r="B410" s="11">
        <v>0.5</v>
      </c>
      <c r="C410" s="7">
        <v>0.2</v>
      </c>
      <c r="D410" s="28">
        <v>2.9346460556230083</v>
      </c>
      <c r="E410" s="28"/>
    </row>
    <row r="411" spans="1:5" x14ac:dyDescent="0.25">
      <c r="A411" s="11">
        <v>0.5</v>
      </c>
      <c r="B411" s="11">
        <v>0.5</v>
      </c>
      <c r="C411" s="7">
        <v>0.3</v>
      </c>
      <c r="D411" s="28">
        <v>2.9259276524845306</v>
      </c>
      <c r="E411" s="28"/>
    </row>
    <row r="412" spans="1:5" x14ac:dyDescent="0.25">
      <c r="A412" s="11">
        <v>0.5</v>
      </c>
      <c r="B412" s="11">
        <v>0.5</v>
      </c>
      <c r="C412" s="7">
        <v>0.4</v>
      </c>
      <c r="D412" s="28">
        <v>2.9172451835970579</v>
      </c>
      <c r="E412" s="28"/>
    </row>
    <row r="413" spans="1:5" x14ac:dyDescent="0.25">
      <c r="A413" s="11">
        <v>0.5</v>
      </c>
      <c r="B413" s="11">
        <v>0.5</v>
      </c>
      <c r="C413" s="7">
        <v>0.5</v>
      </c>
      <c r="D413" s="28">
        <v>2.908598546224459</v>
      </c>
      <c r="E413" s="28"/>
    </row>
    <row r="414" spans="1:5" x14ac:dyDescent="0.25">
      <c r="A414" s="11">
        <v>0.5</v>
      </c>
      <c r="B414" s="11">
        <v>0.5</v>
      </c>
      <c r="C414" s="7">
        <v>0.6</v>
      </c>
      <c r="D414" s="28">
        <v>2.8999876380218992</v>
      </c>
      <c r="E414" s="28"/>
    </row>
    <row r="415" spans="1:5" x14ac:dyDescent="0.25">
      <c r="A415" s="11">
        <v>0.5</v>
      </c>
      <c r="B415" s="11">
        <v>0.5</v>
      </c>
      <c r="C415" s="7">
        <v>0.7</v>
      </c>
      <c r="D415" s="28">
        <v>2.8914123570339068</v>
      </c>
      <c r="E415" s="28"/>
    </row>
    <row r="416" spans="1:5" x14ac:dyDescent="0.25">
      <c r="A416" s="11">
        <v>0.5</v>
      </c>
      <c r="B416" s="11">
        <v>0.5</v>
      </c>
      <c r="C416" s="7">
        <v>0.8</v>
      </c>
      <c r="D416" s="28">
        <v>2.8828726016925752</v>
      </c>
      <c r="E416" s="28"/>
    </row>
    <row r="417" spans="1:5" x14ac:dyDescent="0.25">
      <c r="A417" s="11">
        <v>0.5</v>
      </c>
      <c r="B417" s="11">
        <v>0.5</v>
      </c>
      <c r="C417" s="7">
        <v>0.9</v>
      </c>
      <c r="D417" s="28">
        <v>2.8743682708156966</v>
      </c>
      <c r="E417" s="28"/>
    </row>
    <row r="418" spans="1:5" x14ac:dyDescent="0.25">
      <c r="A418" s="11">
        <v>0.5</v>
      </c>
      <c r="B418" s="11">
        <v>0.6</v>
      </c>
      <c r="C418" s="7">
        <v>0.1</v>
      </c>
      <c r="D418" s="28">
        <v>2.8829713202276821</v>
      </c>
      <c r="E418" s="28"/>
    </row>
    <row r="419" spans="1:5" x14ac:dyDescent="0.25">
      <c r="A419" s="11">
        <v>0.5</v>
      </c>
      <c r="B419" s="11">
        <v>0.6</v>
      </c>
      <c r="C419" s="7">
        <v>0.2</v>
      </c>
      <c r="D419" s="28">
        <v>2.8727882104447531</v>
      </c>
      <c r="E419" s="28"/>
    </row>
    <row r="420" spans="1:5" x14ac:dyDescent="0.25">
      <c r="A420" s="11">
        <v>0.5</v>
      </c>
      <c r="B420" s="11">
        <v>0.6</v>
      </c>
      <c r="C420" s="7">
        <v>0.3</v>
      </c>
      <c r="D420" s="28">
        <v>2.862644634099615</v>
      </c>
      <c r="E420" s="28"/>
    </row>
    <row r="421" spans="1:5" x14ac:dyDescent="0.25">
      <c r="A421" s="11">
        <v>0.5</v>
      </c>
      <c r="B421" s="11">
        <v>0.6</v>
      </c>
      <c r="C421" s="7">
        <v>0.4</v>
      </c>
      <c r="D421" s="28">
        <v>2.8525404780582551</v>
      </c>
      <c r="E421" s="28"/>
    </row>
    <row r="422" spans="1:5" x14ac:dyDescent="0.25">
      <c r="A422" s="11">
        <v>0.5</v>
      </c>
      <c r="B422" s="11">
        <v>0.6</v>
      </c>
      <c r="C422" s="7">
        <v>0.5</v>
      </c>
      <c r="D422" s="28">
        <v>2.8424756296179172</v>
      </c>
      <c r="E422" s="28"/>
    </row>
    <row r="423" spans="1:5" x14ac:dyDescent="0.25">
      <c r="A423" s="11">
        <v>0.5</v>
      </c>
      <c r="B423" s="11">
        <v>0.6</v>
      </c>
      <c r="C423" s="7">
        <v>0.6</v>
      </c>
      <c r="D423" s="28">
        <v>2.8324499765050746</v>
      </c>
      <c r="E423" s="28"/>
    </row>
    <row r="424" spans="1:5" x14ac:dyDescent="0.25">
      <c r="A424" s="11">
        <v>0.5</v>
      </c>
      <c r="B424" s="11">
        <v>0.6</v>
      </c>
      <c r="C424" s="7">
        <v>0.7</v>
      </c>
      <c r="D424" s="28">
        <v>2.8224634068733754</v>
      </c>
      <c r="E424" s="28"/>
    </row>
    <row r="425" spans="1:5" x14ac:dyDescent="0.25">
      <c r="A425" s="11">
        <v>0.5</v>
      </c>
      <c r="B425" s="11">
        <v>0.6</v>
      </c>
      <c r="C425" s="7">
        <v>0.8</v>
      </c>
      <c r="D425" s="28">
        <v>2.812515809301591</v>
      </c>
      <c r="E425" s="28"/>
    </row>
    <row r="426" spans="1:5" x14ac:dyDescent="0.25">
      <c r="A426" s="11">
        <v>0.5</v>
      </c>
      <c r="B426" s="11">
        <v>0.6</v>
      </c>
      <c r="C426" s="7">
        <v>0.9</v>
      </c>
      <c r="D426" s="28">
        <v>2.8026070727916359</v>
      </c>
      <c r="E426" s="28"/>
    </row>
    <row r="427" spans="1:5" x14ac:dyDescent="0.25">
      <c r="A427" s="11">
        <v>0.5</v>
      </c>
      <c r="B427" s="11">
        <v>0.7</v>
      </c>
      <c r="C427" s="7">
        <v>0.1</v>
      </c>
      <c r="D427" s="28">
        <v>2.8680787056673283</v>
      </c>
      <c r="E427" s="28"/>
    </row>
    <row r="428" spans="1:5" x14ac:dyDescent="0.25">
      <c r="A428" s="11">
        <v>0.5</v>
      </c>
      <c r="B428" s="11">
        <v>0.7</v>
      </c>
      <c r="C428" s="7">
        <v>0.2</v>
      </c>
      <c r="D428" s="28">
        <v>2.8564661781595686</v>
      </c>
      <c r="E428" s="28"/>
    </row>
    <row r="429" spans="1:5" x14ac:dyDescent="0.25">
      <c r="A429" s="11">
        <v>0.5</v>
      </c>
      <c r="B429" s="11">
        <v>0.7</v>
      </c>
      <c r="C429" s="7">
        <v>0.3</v>
      </c>
      <c r="D429" s="28">
        <v>2.8448968157225338</v>
      </c>
      <c r="E429" s="28"/>
    </row>
    <row r="430" spans="1:5" x14ac:dyDescent="0.25">
      <c r="A430" s="11">
        <v>0.5</v>
      </c>
      <c r="B430" s="11">
        <v>0.7</v>
      </c>
      <c r="C430" s="7">
        <v>0.4</v>
      </c>
      <c r="D430" s="28">
        <v>2.8333704948294627</v>
      </c>
      <c r="E430" s="28"/>
    </row>
    <row r="431" spans="1:5" x14ac:dyDescent="0.25">
      <c r="A431" s="11">
        <v>0.5</v>
      </c>
      <c r="B431" s="11">
        <v>0.7</v>
      </c>
      <c r="C431" s="7">
        <v>0.5</v>
      </c>
      <c r="D431" s="28">
        <v>2.8218870924244666</v>
      </c>
      <c r="E431" s="28"/>
    </row>
    <row r="432" spans="1:5" x14ac:dyDescent="0.25">
      <c r="A432" s="11">
        <v>0.5</v>
      </c>
      <c r="B432" s="11">
        <v>0.7</v>
      </c>
      <c r="C432" s="7">
        <v>0.6</v>
      </c>
      <c r="D432" s="28">
        <v>2.8104464859203118</v>
      </c>
      <c r="E432" s="28"/>
    </row>
    <row r="433" spans="1:5" x14ac:dyDescent="0.25">
      <c r="A433" s="11">
        <v>0.5</v>
      </c>
      <c r="B433" s="11">
        <v>0.7</v>
      </c>
      <c r="C433" s="7">
        <v>0.7</v>
      </c>
      <c r="D433" s="28">
        <v>2.799048553196184</v>
      </c>
      <c r="E433" s="28"/>
    </row>
    <row r="434" spans="1:5" x14ac:dyDescent="0.25">
      <c r="A434" s="11">
        <v>0.5</v>
      </c>
      <c r="B434" s="11">
        <v>0.7</v>
      </c>
      <c r="C434" s="7">
        <v>0.8</v>
      </c>
      <c r="D434" s="28">
        <v>2.7876931725954317</v>
      </c>
      <c r="E434" s="28"/>
    </row>
    <row r="435" spans="1:5" x14ac:dyDescent="0.25">
      <c r="A435" s="11">
        <v>0.5</v>
      </c>
      <c r="B435" s="11">
        <v>0.7</v>
      </c>
      <c r="C435" s="7">
        <v>0.9</v>
      </c>
      <c r="D435" s="28">
        <v>2.776380222923454</v>
      </c>
      <c r="E435" s="28"/>
    </row>
    <row r="436" spans="1:5" x14ac:dyDescent="0.25">
      <c r="A436" s="11">
        <v>0.5</v>
      </c>
      <c r="B436" s="11">
        <v>0.8</v>
      </c>
      <c r="C436" s="7">
        <v>0.1</v>
      </c>
      <c r="D436" s="28">
        <v>2.8731447149274705</v>
      </c>
      <c r="E436" s="28"/>
    </row>
    <row r="437" spans="1:5" x14ac:dyDescent="0.25">
      <c r="A437" s="11">
        <v>0.5</v>
      </c>
      <c r="B437" s="11">
        <v>0.8</v>
      </c>
      <c r="C437" s="7">
        <v>0.2</v>
      </c>
      <c r="D437" s="28">
        <v>2.8601019953112878</v>
      </c>
      <c r="E437" s="28"/>
    </row>
    <row r="438" spans="1:5" x14ac:dyDescent="0.25">
      <c r="A438" s="11">
        <v>0.5</v>
      </c>
      <c r="B438" s="11">
        <v>0.8</v>
      </c>
      <c r="C438" s="7">
        <v>0.3</v>
      </c>
      <c r="D438" s="28">
        <v>2.8471062077781748</v>
      </c>
      <c r="E438" s="28"/>
    </row>
    <row r="439" spans="1:5" x14ac:dyDescent="0.25">
      <c r="A439" s="11">
        <v>0.5</v>
      </c>
      <c r="B439" s="11">
        <v>0.8</v>
      </c>
      <c r="C439" s="7">
        <v>0.4</v>
      </c>
      <c r="D439" s="28">
        <v>2.8341572180211987</v>
      </c>
      <c r="E439" s="28"/>
    </row>
    <row r="440" spans="1:5" x14ac:dyDescent="0.25">
      <c r="A440" s="11">
        <v>0.5</v>
      </c>
      <c r="B440" s="11">
        <v>0.8</v>
      </c>
      <c r="C440" s="7">
        <v>0.5</v>
      </c>
      <c r="D440" s="28">
        <v>2.8212548922453879</v>
      </c>
      <c r="E440" s="28"/>
    </row>
    <row r="441" spans="1:5" x14ac:dyDescent="0.25">
      <c r="A441" s="11">
        <v>0.5</v>
      </c>
      <c r="B441" s="11">
        <v>0.8</v>
      </c>
      <c r="C441" s="7">
        <v>0.6</v>
      </c>
      <c r="D441" s="28">
        <v>2.8083990971653425</v>
      </c>
      <c r="E441" s="28"/>
    </row>
    <row r="442" spans="1:5" x14ac:dyDescent="0.25">
      <c r="A442" s="11">
        <v>0.5</v>
      </c>
      <c r="B442" s="11">
        <v>0.8</v>
      </c>
      <c r="C442" s="7">
        <v>0.7</v>
      </c>
      <c r="D442" s="28">
        <v>2.7955897000027532</v>
      </c>
      <c r="E442" s="28"/>
    </row>
    <row r="443" spans="1:5" x14ac:dyDescent="0.25">
      <c r="A443" s="11">
        <v>0.5</v>
      </c>
      <c r="B443" s="11">
        <v>0.8</v>
      </c>
      <c r="C443" s="7">
        <v>0.8</v>
      </c>
      <c r="D443" s="28">
        <v>2.7828265684840301</v>
      </c>
      <c r="E443" s="28"/>
    </row>
    <row r="444" spans="1:5" x14ac:dyDescent="0.25">
      <c r="A444" s="11">
        <v>0.5</v>
      </c>
      <c r="B444" s="11">
        <v>0.8</v>
      </c>
      <c r="C444" s="7">
        <v>0.9</v>
      </c>
      <c r="D444" s="28">
        <v>2.7701095708378989</v>
      </c>
      <c r="E444" s="28"/>
    </row>
    <row r="445" spans="1:5" x14ac:dyDescent="0.25">
      <c r="A445" s="11">
        <v>0.5</v>
      </c>
      <c r="B445" s="11">
        <v>0.9</v>
      </c>
      <c r="C445" s="7">
        <v>0.1</v>
      </c>
      <c r="D445" s="28">
        <v>2.8856357651568576</v>
      </c>
      <c r="E445" s="28"/>
    </row>
    <row r="446" spans="1:5" x14ac:dyDescent="0.25">
      <c r="A446" s="11">
        <v>0.5</v>
      </c>
      <c r="B446" s="11">
        <v>0.9</v>
      </c>
      <c r="C446" s="7">
        <v>0.2</v>
      </c>
      <c r="D446" s="28">
        <v>2.8711618258831351</v>
      </c>
      <c r="E446" s="28"/>
    </row>
    <row r="447" spans="1:5" x14ac:dyDescent="0.25">
      <c r="A447" s="11">
        <v>0.5</v>
      </c>
      <c r="B447" s="11">
        <v>0.9</v>
      </c>
      <c r="C447" s="7">
        <v>0.3</v>
      </c>
      <c r="D447" s="28">
        <v>2.8567387208886212</v>
      </c>
      <c r="E447" s="28"/>
    </row>
    <row r="448" spans="1:5" x14ac:dyDescent="0.25">
      <c r="A448" s="11">
        <v>0.5</v>
      </c>
      <c r="B448" s="11">
        <v>0.9</v>
      </c>
      <c r="C448" s="7">
        <v>0.4</v>
      </c>
      <c r="D448" s="28">
        <v>2.8423663046993539</v>
      </c>
      <c r="E448" s="28"/>
    </row>
    <row r="449" spans="1:5" x14ac:dyDescent="0.25">
      <c r="A449" s="11">
        <v>0.5</v>
      </c>
      <c r="B449" s="11">
        <v>0.9</v>
      </c>
      <c r="C449" s="7">
        <v>0.5</v>
      </c>
      <c r="D449" s="28">
        <v>2.8280444323959029</v>
      </c>
      <c r="E449" s="28"/>
    </row>
    <row r="450" spans="1:5" x14ac:dyDescent="0.25">
      <c r="A450" s="11">
        <v>0.5</v>
      </c>
      <c r="B450" s="11">
        <v>0.9</v>
      </c>
      <c r="C450" s="7">
        <v>0.6</v>
      </c>
      <c r="D450" s="28">
        <v>2.8137729596107657</v>
      </c>
      <c r="E450" s="28"/>
    </row>
    <row r="451" spans="1:5" x14ac:dyDescent="0.25">
      <c r="A451" s="11">
        <v>0.5</v>
      </c>
      <c r="B451" s="11">
        <v>0.9</v>
      </c>
      <c r="C451" s="7">
        <v>0.7</v>
      </c>
      <c r="D451" s="28">
        <v>2.7995517425257077</v>
      </c>
      <c r="E451" s="28"/>
    </row>
    <row r="452" spans="1:5" x14ac:dyDescent="0.25">
      <c r="A452" s="11">
        <v>0.5</v>
      </c>
      <c r="B452" s="11">
        <v>0.9</v>
      </c>
      <c r="C452" s="7">
        <v>0.8</v>
      </c>
      <c r="D452" s="28">
        <v>2.7853806378691686</v>
      </c>
      <c r="E452" s="28"/>
    </row>
    <row r="453" spans="1:5" ht="15.75" thickBot="1" x14ac:dyDescent="0.3">
      <c r="A453" s="11">
        <v>0.5</v>
      </c>
      <c r="B453" s="27">
        <v>0.9</v>
      </c>
      <c r="C453" s="9">
        <v>0.9</v>
      </c>
      <c r="D453" s="28">
        <v>2.7712595029136717</v>
      </c>
      <c r="E453" s="28"/>
    </row>
    <row r="454" spans="1:5" x14ac:dyDescent="0.25">
      <c r="A454" s="11">
        <v>0.6</v>
      </c>
      <c r="B454" s="11">
        <v>0.1</v>
      </c>
      <c r="C454" s="7">
        <v>0.1</v>
      </c>
      <c r="D454" s="28">
        <v>3.1501102610774918</v>
      </c>
      <c r="E454" s="28"/>
    </row>
    <row r="455" spans="1:5" x14ac:dyDescent="0.25">
      <c r="A455" s="11">
        <v>0.6</v>
      </c>
      <c r="B455" s="11">
        <v>0.1</v>
      </c>
      <c r="C455" s="7">
        <v>0.2</v>
      </c>
      <c r="D455" s="28">
        <v>3.1451207548130302</v>
      </c>
      <c r="E455" s="28"/>
    </row>
    <row r="456" spans="1:5" x14ac:dyDescent="0.25">
      <c r="A456" s="11">
        <v>0.6</v>
      </c>
      <c r="B456" s="11">
        <v>0.1</v>
      </c>
      <c r="C456" s="7">
        <v>0.3</v>
      </c>
      <c r="D456" s="28">
        <v>3.140150477291066</v>
      </c>
      <c r="E456" s="28"/>
    </row>
    <row r="457" spans="1:5" x14ac:dyDescent="0.25">
      <c r="A457" s="11">
        <v>0.6</v>
      </c>
      <c r="B457" s="11">
        <v>0.1</v>
      </c>
      <c r="C457" s="7">
        <v>0.4</v>
      </c>
      <c r="D457" s="28">
        <v>3.1351993845399591</v>
      </c>
      <c r="E457" s="28"/>
    </row>
    <row r="458" spans="1:5" x14ac:dyDescent="0.25">
      <c r="A458" s="11">
        <v>0.6</v>
      </c>
      <c r="B458" s="11">
        <v>0.1</v>
      </c>
      <c r="C458" s="7">
        <v>0.5</v>
      </c>
      <c r="D458" s="28">
        <v>3.1302674327220412</v>
      </c>
      <c r="E458" s="28"/>
    </row>
    <row r="459" spans="1:5" x14ac:dyDescent="0.25">
      <c r="A459" s="11">
        <v>0.6</v>
      </c>
      <c r="B459" s="11">
        <v>0.1</v>
      </c>
      <c r="C459" s="7">
        <v>0.6</v>
      </c>
      <c r="D459" s="28">
        <v>3.1253545781330945</v>
      </c>
      <c r="E459" s="28"/>
    </row>
    <row r="460" spans="1:5" x14ac:dyDescent="0.25">
      <c r="A460" s="11">
        <v>0.6</v>
      </c>
      <c r="B460" s="11">
        <v>0.1</v>
      </c>
      <c r="C460" s="7">
        <v>0.7</v>
      </c>
      <c r="D460" s="28">
        <v>3.1204607772018744</v>
      </c>
      <c r="E460" s="28"/>
    </row>
    <row r="461" spans="1:5" x14ac:dyDescent="0.25">
      <c r="A461" s="11">
        <v>0.6</v>
      </c>
      <c r="B461" s="11">
        <v>0.1</v>
      </c>
      <c r="C461" s="7">
        <v>0.8</v>
      </c>
      <c r="D461" s="28">
        <v>3.1155859864895592</v>
      </c>
      <c r="E461" s="28"/>
    </row>
    <row r="462" spans="1:5" x14ac:dyDescent="0.25">
      <c r="A462" s="11">
        <v>0.6</v>
      </c>
      <c r="B462" s="11">
        <v>0.1</v>
      </c>
      <c r="C462" s="7">
        <v>0.9</v>
      </c>
      <c r="D462" s="28">
        <v>3.1107301626892752</v>
      </c>
      <c r="E462" s="28"/>
    </row>
    <row r="463" spans="1:5" x14ac:dyDescent="0.25">
      <c r="A463" s="11">
        <v>0.6</v>
      </c>
      <c r="B463" s="11">
        <v>0.2</v>
      </c>
      <c r="C463" s="7">
        <v>0.1</v>
      </c>
      <c r="D463" s="28">
        <v>3.1294605272038312</v>
      </c>
      <c r="E463" s="28"/>
    </row>
    <row r="464" spans="1:5" x14ac:dyDescent="0.25">
      <c r="A464" s="11">
        <v>0.6</v>
      </c>
      <c r="B464" s="11">
        <v>0.2</v>
      </c>
      <c r="C464" s="7">
        <v>0.2</v>
      </c>
      <c r="D464" s="28">
        <v>3.1231070379342238</v>
      </c>
      <c r="E464" s="28"/>
    </row>
    <row r="465" spans="1:5" x14ac:dyDescent="0.25">
      <c r="A465" s="11">
        <v>0.6</v>
      </c>
      <c r="B465" s="11">
        <v>0.2</v>
      </c>
      <c r="C465" s="7">
        <v>0.3</v>
      </c>
      <c r="D465" s="28">
        <v>3.1167752840406382</v>
      </c>
      <c r="E465" s="28"/>
    </row>
    <row r="466" spans="1:5" x14ac:dyDescent="0.25">
      <c r="A466" s="11">
        <v>0.6</v>
      </c>
      <c r="B466" s="11">
        <v>0.2</v>
      </c>
      <c r="C466" s="7">
        <v>0.4</v>
      </c>
      <c r="D466" s="28">
        <v>3.1104652158193629</v>
      </c>
      <c r="E466" s="28"/>
    </row>
    <row r="467" spans="1:5" x14ac:dyDescent="0.25">
      <c r="A467" s="11">
        <v>0.6</v>
      </c>
      <c r="B467" s="11">
        <v>0.2</v>
      </c>
      <c r="C467" s="7">
        <v>0.5</v>
      </c>
      <c r="D467" s="28">
        <v>3.1041767837181027</v>
      </c>
      <c r="E467" s="28"/>
    </row>
    <row r="468" spans="1:5" x14ac:dyDescent="0.25">
      <c r="A468" s="11">
        <v>0.6</v>
      </c>
      <c r="B468" s="11">
        <v>0.2</v>
      </c>
      <c r="C468" s="7">
        <v>0.6</v>
      </c>
      <c r="D468" s="28">
        <v>3.0979099383354236</v>
      </c>
      <c r="E468" s="28"/>
    </row>
    <row r="469" spans="1:5" x14ac:dyDescent="0.25">
      <c r="A469" s="11">
        <v>0.6</v>
      </c>
      <c r="B469" s="11">
        <v>0.2</v>
      </c>
      <c r="C469" s="7">
        <v>0.7</v>
      </c>
      <c r="D469" s="28">
        <v>3.091664630420182</v>
      </c>
      <c r="E469" s="28"/>
    </row>
    <row r="470" spans="1:5" x14ac:dyDescent="0.25">
      <c r="A470" s="11">
        <v>0.6</v>
      </c>
      <c r="B470" s="11">
        <v>0.2</v>
      </c>
      <c r="C470" s="7">
        <v>0.8</v>
      </c>
      <c r="D470" s="28">
        <v>3.0854408108709324</v>
      </c>
      <c r="E470" s="28"/>
    </row>
    <row r="471" spans="1:5" x14ac:dyDescent="0.25">
      <c r="A471" s="11">
        <v>0.6</v>
      </c>
      <c r="B471" s="11">
        <v>0.2</v>
      </c>
      <c r="C471" s="7">
        <v>0.9</v>
      </c>
      <c r="D471" s="28">
        <v>3.0792384307353804</v>
      </c>
      <c r="E471" s="28"/>
    </row>
    <row r="472" spans="1:5" x14ac:dyDescent="0.25">
      <c r="A472" s="11">
        <v>0.6</v>
      </c>
      <c r="B472" s="11">
        <v>0.3</v>
      </c>
      <c r="C472" s="7">
        <v>0.1</v>
      </c>
      <c r="D472" s="28">
        <v>3.0812272005314414</v>
      </c>
      <c r="E472" s="28"/>
    </row>
    <row r="473" spans="1:5" x14ac:dyDescent="0.25">
      <c r="A473" s="11">
        <v>0.6</v>
      </c>
      <c r="B473" s="11">
        <v>0.3</v>
      </c>
      <c r="C473" s="7">
        <v>0.2</v>
      </c>
      <c r="D473" s="28">
        <v>3.0735054911599322</v>
      </c>
      <c r="E473" s="28"/>
    </row>
    <row r="474" spans="1:5" x14ac:dyDescent="0.25">
      <c r="A474" s="11">
        <v>0.6</v>
      </c>
      <c r="B474" s="11">
        <v>0.3</v>
      </c>
      <c r="C474" s="7">
        <v>0.3</v>
      </c>
      <c r="D474" s="28">
        <v>3.0658081494633418</v>
      </c>
      <c r="E474" s="28"/>
    </row>
    <row r="475" spans="1:5" x14ac:dyDescent="0.25">
      <c r="A475" s="11">
        <v>0.6</v>
      </c>
      <c r="B475" s="11">
        <v>0.3</v>
      </c>
      <c r="C475" s="7">
        <v>0.4</v>
      </c>
      <c r="D475" s="28">
        <v>3.0581351197184898</v>
      </c>
      <c r="E475" s="28"/>
    </row>
    <row r="476" spans="1:5" x14ac:dyDescent="0.25">
      <c r="A476" s="11">
        <v>0.6</v>
      </c>
      <c r="B476" s="11">
        <v>0.3</v>
      </c>
      <c r="C476" s="7">
        <v>0.5</v>
      </c>
      <c r="D476" s="28">
        <v>3.0504863463719754</v>
      </c>
      <c r="E476" s="28"/>
    </row>
    <row r="477" spans="1:5" x14ac:dyDescent="0.25">
      <c r="A477" s="11">
        <v>0.6</v>
      </c>
      <c r="B477" s="11">
        <v>0.3</v>
      </c>
      <c r="C477" s="7">
        <v>0.6</v>
      </c>
      <c r="D477" s="28">
        <v>3.0428617740395292</v>
      </c>
      <c r="E477" s="28"/>
    </row>
    <row r="478" spans="1:5" x14ac:dyDescent="0.25">
      <c r="A478" s="11">
        <v>0.6</v>
      </c>
      <c r="B478" s="11">
        <v>0.3</v>
      </c>
      <c r="C478" s="7">
        <v>0.7</v>
      </c>
      <c r="D478" s="28">
        <v>3.0352613475053505</v>
      </c>
      <c r="E478" s="28"/>
    </row>
    <row r="479" spans="1:5" x14ac:dyDescent="0.25">
      <c r="A479" s="11">
        <v>0.6</v>
      </c>
      <c r="B479" s="11">
        <v>0.3</v>
      </c>
      <c r="C479" s="7">
        <v>0.8</v>
      </c>
      <c r="D479" s="28">
        <v>3.0276850117214904</v>
      </c>
      <c r="E479" s="28"/>
    </row>
    <row r="480" spans="1:5" x14ac:dyDescent="0.25">
      <c r="A480" s="11">
        <v>0.6</v>
      </c>
      <c r="B480" s="11">
        <v>0.3</v>
      </c>
      <c r="C480" s="7">
        <v>0.9</v>
      </c>
      <c r="D480" s="28">
        <v>3.0201327118072112</v>
      </c>
      <c r="E480" s="28"/>
    </row>
    <row r="481" spans="1:5" x14ac:dyDescent="0.25">
      <c r="A481" s="11">
        <v>0.6</v>
      </c>
      <c r="B481" s="11">
        <v>0.4</v>
      </c>
      <c r="C481" s="7">
        <v>0.1</v>
      </c>
      <c r="D481" s="28">
        <v>3.0280761044779401</v>
      </c>
      <c r="E481" s="28"/>
    </row>
    <row r="482" spans="1:5" x14ac:dyDescent="0.25">
      <c r="A482" s="11">
        <v>0.6</v>
      </c>
      <c r="B482" s="11">
        <v>0.4</v>
      </c>
      <c r="C482" s="7">
        <v>0.2</v>
      </c>
      <c r="D482" s="28">
        <v>3.0189843288815141</v>
      </c>
      <c r="E482" s="28"/>
    </row>
    <row r="483" spans="1:5" x14ac:dyDescent="0.25">
      <c r="A483" s="11">
        <v>0.6</v>
      </c>
      <c r="B483" s="11">
        <v>0.4</v>
      </c>
      <c r="C483" s="7">
        <v>0.3</v>
      </c>
      <c r="D483" s="28">
        <v>3.0099196787494704</v>
      </c>
      <c r="E483" s="28"/>
    </row>
    <row r="484" spans="1:5" x14ac:dyDescent="0.25">
      <c r="A484" s="11">
        <v>0.6</v>
      </c>
      <c r="B484" s="11">
        <v>0.4</v>
      </c>
      <c r="C484" s="7">
        <v>0.4</v>
      </c>
      <c r="D484" s="28">
        <v>3.000882092052211</v>
      </c>
      <c r="E484" s="28"/>
    </row>
    <row r="485" spans="1:5" x14ac:dyDescent="0.25">
      <c r="A485" s="11">
        <v>0.6</v>
      </c>
      <c r="B485" s="11">
        <v>0.4</v>
      </c>
      <c r="C485" s="7">
        <v>0.5</v>
      </c>
      <c r="D485" s="28">
        <v>2.9918715069491268</v>
      </c>
      <c r="E485" s="28"/>
    </row>
    <row r="486" spans="1:5" x14ac:dyDescent="0.25">
      <c r="A486" s="11">
        <v>0.6</v>
      </c>
      <c r="B486" s="11">
        <v>0.4</v>
      </c>
      <c r="C486" s="7">
        <v>0.6</v>
      </c>
      <c r="D486" s="28">
        <v>2.9828878617878796</v>
      </c>
      <c r="E486" s="28"/>
    </row>
    <row r="487" spans="1:5" x14ac:dyDescent="0.25">
      <c r="A487" s="11">
        <v>0.6</v>
      </c>
      <c r="B487" s="11">
        <v>0.4</v>
      </c>
      <c r="C487" s="7">
        <v>0.7</v>
      </c>
      <c r="D487" s="28">
        <v>2.9739310951036826</v>
      </c>
      <c r="E487" s="28"/>
    </row>
    <row r="488" spans="1:5" x14ac:dyDescent="0.25">
      <c r="A488" s="11">
        <v>0.6</v>
      </c>
      <c r="B488" s="11">
        <v>0.4</v>
      </c>
      <c r="C488" s="7">
        <v>0.8</v>
      </c>
      <c r="D488" s="28">
        <v>2.9650011456185736</v>
      </c>
      <c r="E488" s="28"/>
    </row>
    <row r="489" spans="1:5" x14ac:dyDescent="0.25">
      <c r="A489" s="11">
        <v>0.6</v>
      </c>
      <c r="B489" s="11">
        <v>0.4</v>
      </c>
      <c r="C489" s="7">
        <v>0.9</v>
      </c>
      <c r="D489" s="28">
        <v>2.9560979522407318</v>
      </c>
      <c r="E489" s="28"/>
    </row>
    <row r="490" spans="1:5" x14ac:dyDescent="0.25">
      <c r="A490" s="11">
        <v>0.6</v>
      </c>
      <c r="B490" s="11">
        <v>0.5</v>
      </c>
      <c r="C490" s="7">
        <v>0.1</v>
      </c>
      <c r="D490" s="28">
        <v>3.0375910901836676</v>
      </c>
      <c r="E490" s="28"/>
    </row>
    <row r="491" spans="1:5" x14ac:dyDescent="0.25">
      <c r="A491" s="11">
        <v>0.6</v>
      </c>
      <c r="B491" s="11">
        <v>0.5</v>
      </c>
      <c r="C491" s="7">
        <v>0.2</v>
      </c>
      <c r="D491" s="28">
        <v>3.0271282511834867</v>
      </c>
      <c r="E491" s="28"/>
    </row>
    <row r="492" spans="1:5" x14ac:dyDescent="0.25">
      <c r="A492" s="11">
        <v>0.6</v>
      </c>
      <c r="B492" s="11">
        <v>0.5</v>
      </c>
      <c r="C492" s="7">
        <v>0.3</v>
      </c>
      <c r="D492" s="28">
        <v>3.0166954207532721</v>
      </c>
      <c r="E492" s="28"/>
    </row>
    <row r="493" spans="1:5" x14ac:dyDescent="0.25">
      <c r="A493" s="11">
        <v>0.6</v>
      </c>
      <c r="B493" s="11">
        <v>0.5</v>
      </c>
      <c r="C493" s="7">
        <v>0.4</v>
      </c>
      <c r="D493" s="28">
        <v>3.0062925302704389</v>
      </c>
      <c r="E493" s="28"/>
    </row>
    <row r="494" spans="1:5" x14ac:dyDescent="0.25">
      <c r="A494" s="11">
        <v>0.6</v>
      </c>
      <c r="B494" s="11">
        <v>0.5</v>
      </c>
      <c r="C494" s="7">
        <v>0.5</v>
      </c>
      <c r="D494" s="28">
        <v>2.9959195113214734</v>
      </c>
      <c r="E494" s="28"/>
    </row>
    <row r="495" spans="1:5" x14ac:dyDescent="0.25">
      <c r="A495" s="11">
        <v>0.6</v>
      </c>
      <c r="B495" s="11">
        <v>0.5</v>
      </c>
      <c r="C495" s="7">
        <v>0.6</v>
      </c>
      <c r="D495" s="28">
        <v>2.9855762957011507</v>
      </c>
      <c r="E495" s="28"/>
    </row>
    <row r="496" spans="1:5" x14ac:dyDescent="0.25">
      <c r="A496" s="11">
        <v>0.6</v>
      </c>
      <c r="B496" s="11">
        <v>0.5</v>
      </c>
      <c r="C496" s="7">
        <v>0.7</v>
      </c>
      <c r="D496" s="28">
        <v>2.975262815411722</v>
      </c>
      <c r="E496" s="28"/>
    </row>
    <row r="497" spans="1:5" x14ac:dyDescent="0.25">
      <c r="A497" s="11">
        <v>0.6</v>
      </c>
      <c r="B497" s="11">
        <v>0.5</v>
      </c>
      <c r="C497" s="7">
        <v>0.8</v>
      </c>
      <c r="D497" s="28">
        <v>2.9649790026621345</v>
      </c>
      <c r="E497" s="28"/>
    </row>
    <row r="498" spans="1:5" x14ac:dyDescent="0.25">
      <c r="A498" s="11">
        <v>0.6</v>
      </c>
      <c r="B498" s="11">
        <v>0.5</v>
      </c>
      <c r="C498" s="7">
        <v>0.9</v>
      </c>
      <c r="D498" s="28">
        <v>2.95472478986725</v>
      </c>
      <c r="E498" s="28"/>
    </row>
    <row r="499" spans="1:5" x14ac:dyDescent="0.25">
      <c r="A499" s="11">
        <v>0.6</v>
      </c>
      <c r="B499" s="11">
        <v>0.6</v>
      </c>
      <c r="C499" s="7">
        <v>0.1</v>
      </c>
      <c r="D499" s="28">
        <v>3.063387016056033</v>
      </c>
      <c r="E499" s="28"/>
    </row>
    <row r="500" spans="1:5" x14ac:dyDescent="0.25">
      <c r="A500" s="11">
        <v>0.6</v>
      </c>
      <c r="B500" s="11">
        <v>0.6</v>
      </c>
      <c r="C500" s="7">
        <v>0.2</v>
      </c>
      <c r="D500" s="28">
        <v>3.0515522176733985</v>
      </c>
      <c r="E500" s="28"/>
    </row>
    <row r="501" spans="1:5" x14ac:dyDescent="0.25">
      <c r="A501" s="11">
        <v>0.6</v>
      </c>
      <c r="B501" s="11">
        <v>0.6</v>
      </c>
      <c r="C501" s="7">
        <v>0.3</v>
      </c>
      <c r="D501" s="28">
        <v>3.0397504361083025</v>
      </c>
      <c r="E501" s="28"/>
    </row>
    <row r="502" spans="1:5" x14ac:dyDescent="0.25">
      <c r="A502" s="11">
        <v>0.6</v>
      </c>
      <c r="B502" s="11">
        <v>0.6</v>
      </c>
      <c r="C502" s="7">
        <v>0.4</v>
      </c>
      <c r="D502" s="28">
        <v>3.0279815958590088</v>
      </c>
      <c r="E502" s="28"/>
    </row>
    <row r="503" spans="1:5" x14ac:dyDescent="0.25">
      <c r="A503" s="11">
        <v>0.6</v>
      </c>
      <c r="B503" s="11">
        <v>0.6</v>
      </c>
      <c r="C503" s="7">
        <v>0.5</v>
      </c>
      <c r="D503" s="28">
        <v>3.0162456216537947</v>
      </c>
      <c r="E503" s="28"/>
    </row>
    <row r="504" spans="1:5" x14ac:dyDescent="0.25">
      <c r="A504" s="11">
        <v>0.6</v>
      </c>
      <c r="B504" s="11">
        <v>0.6</v>
      </c>
      <c r="C504" s="7">
        <v>0.6</v>
      </c>
      <c r="D504" s="28">
        <v>3.0045424384501236</v>
      </c>
      <c r="E504" s="28"/>
    </row>
    <row r="505" spans="1:5" x14ac:dyDescent="0.25">
      <c r="A505" s="11">
        <v>0.6</v>
      </c>
      <c r="B505" s="11">
        <v>0.6</v>
      </c>
      <c r="C505" s="7">
        <v>0.7</v>
      </c>
      <c r="D505" s="28">
        <v>2.9928719714337215</v>
      </c>
      <c r="E505" s="28"/>
    </row>
    <row r="506" spans="1:5" x14ac:dyDescent="0.25">
      <c r="A506" s="11">
        <v>0.6</v>
      </c>
      <c r="B506" s="11">
        <v>0.6</v>
      </c>
      <c r="C506" s="7">
        <v>0.8</v>
      </c>
      <c r="D506" s="28">
        <v>2.9812341460177305</v>
      </c>
      <c r="E506" s="28"/>
    </row>
    <row r="507" spans="1:5" x14ac:dyDescent="0.25">
      <c r="A507" s="11">
        <v>0.6</v>
      </c>
      <c r="B507" s="11">
        <v>0.6</v>
      </c>
      <c r="C507" s="7">
        <v>0.9</v>
      </c>
      <c r="D507" s="28">
        <v>2.9696288878418615</v>
      </c>
      <c r="E507" s="28"/>
    </row>
    <row r="508" spans="1:5" x14ac:dyDescent="0.25">
      <c r="A508" s="11">
        <v>0.6</v>
      </c>
      <c r="B508" s="11">
        <v>0.7</v>
      </c>
      <c r="C508" s="7">
        <v>0.1</v>
      </c>
      <c r="D508" s="28">
        <v>3.0970894878486281</v>
      </c>
      <c r="E508" s="28"/>
    </row>
    <row r="509" spans="1:5" x14ac:dyDescent="0.25">
      <c r="A509" s="11">
        <v>0.6</v>
      </c>
      <c r="B509" s="11">
        <v>0.7</v>
      </c>
      <c r="C509" s="7">
        <v>0.2</v>
      </c>
      <c r="D509" s="28">
        <v>3.0838816149678636</v>
      </c>
      <c r="E509" s="28"/>
    </row>
    <row r="510" spans="1:5" x14ac:dyDescent="0.25">
      <c r="A510" s="11">
        <v>0.6</v>
      </c>
      <c r="B510" s="11">
        <v>0.7</v>
      </c>
      <c r="C510" s="7">
        <v>0.3</v>
      </c>
      <c r="D510" s="28">
        <v>3.0707098921204063</v>
      </c>
      <c r="E510" s="28"/>
    </row>
    <row r="511" spans="1:5" x14ac:dyDescent="0.25">
      <c r="A511" s="11">
        <v>0.6</v>
      </c>
      <c r="B511" s="11">
        <v>0.7</v>
      </c>
      <c r="C511" s="7">
        <v>0.4</v>
      </c>
      <c r="D511" s="28">
        <v>3.0575742366395775</v>
      </c>
      <c r="E511" s="28"/>
    </row>
    <row r="512" spans="1:5" x14ac:dyDescent="0.25">
      <c r="A512" s="11">
        <v>0.6</v>
      </c>
      <c r="B512" s="11">
        <v>0.7</v>
      </c>
      <c r="C512" s="7">
        <v>0.5</v>
      </c>
      <c r="D512" s="28">
        <v>3.0444745661105488</v>
      </c>
      <c r="E512" s="28"/>
    </row>
    <row r="513" spans="1:5" x14ac:dyDescent="0.25">
      <c r="A513" s="11">
        <v>0.6</v>
      </c>
      <c r="B513" s="11">
        <v>0.7</v>
      </c>
      <c r="C513" s="7">
        <v>0.6</v>
      </c>
      <c r="D513" s="28">
        <v>3.0314107983694343</v>
      </c>
      <c r="E513" s="28"/>
    </row>
    <row r="514" spans="1:5" x14ac:dyDescent="0.25">
      <c r="A514" s="11">
        <v>0.6</v>
      </c>
      <c r="B514" s="11">
        <v>0.7</v>
      </c>
      <c r="C514" s="7">
        <v>0.7</v>
      </c>
      <c r="D514" s="28">
        <v>3.0183828515022602</v>
      </c>
      <c r="E514" s="28"/>
    </row>
    <row r="515" spans="1:5" x14ac:dyDescent="0.25">
      <c r="A515" s="11">
        <v>0.6</v>
      </c>
      <c r="B515" s="11">
        <v>0.7</v>
      </c>
      <c r="C515" s="7">
        <v>0.8</v>
      </c>
      <c r="D515" s="28">
        <v>3.0053906438440663</v>
      </c>
      <c r="E515" s="28"/>
    </row>
    <row r="516" spans="1:5" x14ac:dyDescent="0.25">
      <c r="A516" s="11">
        <v>0.6</v>
      </c>
      <c r="B516" s="11">
        <v>0.7</v>
      </c>
      <c r="C516" s="7">
        <v>0.9</v>
      </c>
      <c r="D516" s="28">
        <v>2.9924340939779355</v>
      </c>
      <c r="E516" s="28"/>
    </row>
    <row r="517" spans="1:5" x14ac:dyDescent="0.25">
      <c r="A517" s="11">
        <v>0.6</v>
      </c>
      <c r="B517" s="11">
        <v>0.8</v>
      </c>
      <c r="C517" s="7">
        <v>0.1</v>
      </c>
      <c r="D517" s="28">
        <v>3.1417050111240958</v>
      </c>
      <c r="E517" s="28"/>
    </row>
    <row r="518" spans="1:5" x14ac:dyDescent="0.25">
      <c r="A518" s="11">
        <v>0.6</v>
      </c>
      <c r="B518" s="11">
        <v>0.8</v>
      </c>
      <c r="C518" s="7">
        <v>0.2</v>
      </c>
      <c r="D518" s="28">
        <v>3.1271226378761878</v>
      </c>
      <c r="E518" s="28"/>
    </row>
    <row r="519" spans="1:5" x14ac:dyDescent="0.25">
      <c r="A519" s="11">
        <v>0.6</v>
      </c>
      <c r="B519" s="11">
        <v>0.8</v>
      </c>
      <c r="C519" s="7">
        <v>0.3</v>
      </c>
      <c r="D519" s="28">
        <v>3.1125796726720334</v>
      </c>
      <c r="E519" s="28"/>
    </row>
    <row r="520" spans="1:5" x14ac:dyDescent="0.25">
      <c r="A520" s="11">
        <v>0.6</v>
      </c>
      <c r="B520" s="11">
        <v>0.8</v>
      </c>
      <c r="C520" s="7">
        <v>0.4</v>
      </c>
      <c r="D520" s="28">
        <v>3.0980760253946626</v>
      </c>
      <c r="E520" s="28"/>
    </row>
    <row r="521" spans="1:5" x14ac:dyDescent="0.25">
      <c r="A521" s="11">
        <v>0.6</v>
      </c>
      <c r="B521" s="11">
        <v>0.8</v>
      </c>
      <c r="C521" s="7">
        <v>0.5</v>
      </c>
      <c r="D521" s="28">
        <v>3.0836116062016261</v>
      </c>
      <c r="E521" s="28"/>
    </row>
    <row r="522" spans="1:5" x14ac:dyDescent="0.25">
      <c r="A522" s="11">
        <v>0.6</v>
      </c>
      <c r="B522" s="11">
        <v>0.8</v>
      </c>
      <c r="C522" s="7">
        <v>0.6</v>
      </c>
      <c r="D522" s="28">
        <v>3.0691863255240435</v>
      </c>
      <c r="E522" s="28"/>
    </row>
    <row r="523" spans="1:5" x14ac:dyDescent="0.25">
      <c r="A523" s="11">
        <v>0.6</v>
      </c>
      <c r="B523" s="11">
        <v>0.8</v>
      </c>
      <c r="C523" s="7">
        <v>0.7</v>
      </c>
      <c r="D523" s="28">
        <v>3.0548000940654636</v>
      </c>
      <c r="E523" s="28"/>
    </row>
    <row r="524" spans="1:5" x14ac:dyDescent="0.25">
      <c r="A524" s="11">
        <v>0.6</v>
      </c>
      <c r="B524" s="11">
        <v>0.8</v>
      </c>
      <c r="C524" s="7">
        <v>0.8</v>
      </c>
      <c r="D524" s="28">
        <v>3.0404528228009129</v>
      </c>
      <c r="E524" s="28"/>
    </row>
    <row r="525" spans="1:5" x14ac:dyDescent="0.25">
      <c r="A525" s="11">
        <v>0.6</v>
      </c>
      <c r="B525" s="11">
        <v>0.8</v>
      </c>
      <c r="C525" s="7">
        <v>0.9</v>
      </c>
      <c r="D525" s="28">
        <v>3.0261444229757952</v>
      </c>
      <c r="E525" s="28"/>
    </row>
    <row r="526" spans="1:5" x14ac:dyDescent="0.25">
      <c r="A526" s="11">
        <v>0.6</v>
      </c>
      <c r="B526" s="11">
        <v>0.9</v>
      </c>
      <c r="C526" s="7">
        <v>0.1</v>
      </c>
      <c r="D526" s="28">
        <v>3.198820237151661</v>
      </c>
      <c r="E526" s="28"/>
    </row>
    <row r="527" spans="1:5" x14ac:dyDescent="0.25">
      <c r="A527" s="11">
        <v>0.6</v>
      </c>
      <c r="B527" s="11">
        <v>0.9</v>
      </c>
      <c r="C527" s="7">
        <v>0.2</v>
      </c>
      <c r="D527" s="28">
        <v>3.1828616668240683</v>
      </c>
      <c r="E527" s="28"/>
    </row>
    <row r="528" spans="1:5" x14ac:dyDescent="0.25">
      <c r="A528" s="11">
        <v>0.6</v>
      </c>
      <c r="B528" s="11">
        <v>0.9</v>
      </c>
      <c r="C528" s="7">
        <v>0.3</v>
      </c>
      <c r="D528" s="28">
        <v>3.1669458871722056</v>
      </c>
      <c r="E528" s="28"/>
    </row>
    <row r="529" spans="1:5" x14ac:dyDescent="0.25">
      <c r="A529" s="11">
        <v>0.6</v>
      </c>
      <c r="B529" s="11">
        <v>0.9</v>
      </c>
      <c r="C529" s="7">
        <v>0.4</v>
      </c>
      <c r="D529" s="28">
        <v>3.1510728003438144</v>
      </c>
      <c r="E529" s="28"/>
    </row>
    <row r="530" spans="1:5" x14ac:dyDescent="0.25">
      <c r="A530" s="11">
        <v>0.6</v>
      </c>
      <c r="B530" s="11">
        <v>0.9</v>
      </c>
      <c r="C530" s="7">
        <v>0.5</v>
      </c>
      <c r="D530" s="28">
        <v>3.1352423087847487</v>
      </c>
      <c r="E530" s="28"/>
    </row>
    <row r="531" spans="1:5" x14ac:dyDescent="0.25">
      <c r="A531" s="11">
        <v>0.6</v>
      </c>
      <c r="B531" s="11">
        <v>0.9</v>
      </c>
      <c r="C531" s="7">
        <v>0.6</v>
      </c>
      <c r="D531" s="28">
        <v>3.1194543152378547</v>
      </c>
      <c r="E531" s="28"/>
    </row>
    <row r="532" spans="1:5" x14ac:dyDescent="0.25">
      <c r="A532" s="11">
        <v>0.6</v>
      </c>
      <c r="B532" s="11">
        <v>0.9</v>
      </c>
      <c r="C532" s="7">
        <v>0.7</v>
      </c>
      <c r="D532" s="28">
        <v>3.1037087227418554</v>
      </c>
      <c r="E532" s="28"/>
    </row>
    <row r="533" spans="1:5" x14ac:dyDescent="0.25">
      <c r="A533" s="11">
        <v>0.6</v>
      </c>
      <c r="B533" s="11">
        <v>0.9</v>
      </c>
      <c r="C533" s="7">
        <v>0.8</v>
      </c>
      <c r="D533" s="28">
        <v>3.0880054346301944</v>
      </c>
      <c r="E533" s="28"/>
    </row>
    <row r="534" spans="1:5" ht="15.75" thickBot="1" x14ac:dyDescent="0.3">
      <c r="A534" s="11">
        <v>0.6</v>
      </c>
      <c r="B534" s="27">
        <v>0.9</v>
      </c>
      <c r="C534" s="9">
        <v>0.9</v>
      </c>
      <c r="D534" s="28">
        <v>3.0723443545299474</v>
      </c>
      <c r="E534" s="28"/>
    </row>
    <row r="535" spans="1:5" x14ac:dyDescent="0.25">
      <c r="A535" s="11">
        <v>0.7</v>
      </c>
      <c r="B535" s="11">
        <v>0.1</v>
      </c>
      <c r="C535" s="7">
        <v>0.1</v>
      </c>
      <c r="D535" s="28">
        <v>3.1997868475369029</v>
      </c>
      <c r="E535" s="28"/>
    </row>
    <row r="536" spans="1:5" x14ac:dyDescent="0.25">
      <c r="A536" s="11">
        <v>0.7</v>
      </c>
      <c r="B536" s="11">
        <v>0.1</v>
      </c>
      <c r="C536" s="7">
        <v>0.2</v>
      </c>
      <c r="D536" s="28">
        <v>3.1941457208943418</v>
      </c>
      <c r="E536" s="28"/>
    </row>
    <row r="537" spans="1:5" x14ac:dyDescent="0.25">
      <c r="A537" s="11">
        <v>0.7</v>
      </c>
      <c r="B537" s="11">
        <v>0.1</v>
      </c>
      <c r="C537" s="7">
        <v>0.3</v>
      </c>
      <c r="D537" s="28">
        <v>3.1885180335875045</v>
      </c>
      <c r="E537" s="28"/>
    </row>
    <row r="538" spans="1:5" x14ac:dyDescent="0.25">
      <c r="A538" s="11">
        <v>0.7</v>
      </c>
      <c r="B538" s="11">
        <v>0.1</v>
      </c>
      <c r="C538" s="7">
        <v>0.4</v>
      </c>
      <c r="D538" s="28">
        <v>3.1829037625932659</v>
      </c>
      <c r="E538" s="28"/>
    </row>
    <row r="539" spans="1:5" x14ac:dyDescent="0.25">
      <c r="A539" s="11">
        <v>0.7</v>
      </c>
      <c r="B539" s="11">
        <v>0.1</v>
      </c>
      <c r="C539" s="7">
        <v>0.5</v>
      </c>
      <c r="D539" s="28">
        <v>3.1773028849410356</v>
      </c>
      <c r="E539" s="28"/>
    </row>
    <row r="540" spans="1:5" x14ac:dyDescent="0.25">
      <c r="A540" s="11">
        <v>0.7</v>
      </c>
      <c r="B540" s="11">
        <v>0.1</v>
      </c>
      <c r="C540" s="7">
        <v>0.6</v>
      </c>
      <c r="D540" s="28">
        <v>3.1717153777126401</v>
      </c>
      <c r="E540" s="28"/>
    </row>
    <row r="541" spans="1:5" x14ac:dyDescent="0.25">
      <c r="A541" s="11">
        <v>0.7</v>
      </c>
      <c r="B541" s="11">
        <v>0.1</v>
      </c>
      <c r="C541" s="7">
        <v>0.7</v>
      </c>
      <c r="D541" s="28">
        <v>3.1661412180421733</v>
      </c>
      <c r="E541" s="28"/>
    </row>
    <row r="542" spans="1:5" x14ac:dyDescent="0.25">
      <c r="A542" s="11">
        <v>0.7</v>
      </c>
      <c r="B542" s="11">
        <v>0.1</v>
      </c>
      <c r="C542" s="7">
        <v>0.8</v>
      </c>
      <c r="D542" s="28">
        <v>3.1605803831158359</v>
      </c>
      <c r="E542" s="28"/>
    </row>
    <row r="543" spans="1:5" x14ac:dyDescent="0.25">
      <c r="A543" s="11">
        <v>0.7</v>
      </c>
      <c r="B543" s="11">
        <v>0.1</v>
      </c>
      <c r="C543" s="7">
        <v>0.9</v>
      </c>
      <c r="D543" s="28">
        <v>3.1550328501717719</v>
      </c>
      <c r="E543" s="28"/>
    </row>
    <row r="544" spans="1:5" x14ac:dyDescent="0.25">
      <c r="A544" s="11">
        <v>0.7</v>
      </c>
      <c r="B544" s="11">
        <v>0.2</v>
      </c>
      <c r="C544" s="7">
        <v>0.1</v>
      </c>
      <c r="D544" s="28">
        <v>3.1827328256841905</v>
      </c>
      <c r="E544" s="28"/>
    </row>
    <row r="545" spans="1:5" x14ac:dyDescent="0.25">
      <c r="A545" s="11">
        <v>0.7</v>
      </c>
      <c r="B545" s="11">
        <v>0.2</v>
      </c>
      <c r="C545" s="7">
        <v>0.2</v>
      </c>
      <c r="D545" s="28">
        <v>3.1758939854440702</v>
      </c>
      <c r="E545" s="28"/>
    </row>
    <row r="546" spans="1:5" x14ac:dyDescent="0.25">
      <c r="A546" s="11">
        <v>0.7</v>
      </c>
      <c r="B546" s="11">
        <v>0.2</v>
      </c>
      <c r="C546" s="7">
        <v>0.3</v>
      </c>
      <c r="D546" s="28">
        <v>3.1690703874137283</v>
      </c>
      <c r="E546" s="28"/>
    </row>
    <row r="547" spans="1:5" x14ac:dyDescent="0.25">
      <c r="A547" s="11">
        <v>0.7</v>
      </c>
      <c r="B547" s="11">
        <v>0.2</v>
      </c>
      <c r="C547" s="7">
        <v>0.4</v>
      </c>
      <c r="D547" s="28">
        <v>3.1622620054814803</v>
      </c>
      <c r="E547" s="28"/>
    </row>
    <row r="548" spans="1:5" x14ac:dyDescent="0.25">
      <c r="A548" s="11">
        <v>0.7</v>
      </c>
      <c r="B548" s="11">
        <v>0.2</v>
      </c>
      <c r="C548" s="7">
        <v>0.5</v>
      </c>
      <c r="D548" s="28">
        <v>3.1554688135952698</v>
      </c>
      <c r="E548" s="28"/>
    </row>
    <row r="549" spans="1:5" x14ac:dyDescent="0.25">
      <c r="A549" s="11">
        <v>0.7</v>
      </c>
      <c r="B549" s="11">
        <v>0.2</v>
      </c>
      <c r="C549" s="7">
        <v>0.6</v>
      </c>
      <c r="D549" s="28">
        <v>3.148690785762474</v>
      </c>
      <c r="E549" s="28"/>
    </row>
    <row r="550" spans="1:5" x14ac:dyDescent="0.25">
      <c r="A550" s="11">
        <v>0.7</v>
      </c>
      <c r="B550" s="11">
        <v>0.2</v>
      </c>
      <c r="C550" s="7">
        <v>0.7</v>
      </c>
      <c r="D550" s="28">
        <v>3.1419278960497379</v>
      </c>
      <c r="E550" s="28"/>
    </row>
    <row r="551" spans="1:5" x14ac:dyDescent="0.25">
      <c r="A551" s="11">
        <v>0.7</v>
      </c>
      <c r="B551" s="11">
        <v>0.2</v>
      </c>
      <c r="C551" s="7">
        <v>0.8</v>
      </c>
      <c r="D551" s="28">
        <v>3.1351801185828134</v>
      </c>
      <c r="E551" s="28"/>
    </row>
    <row r="552" spans="1:5" x14ac:dyDescent="0.25">
      <c r="A552" s="11">
        <v>0.7</v>
      </c>
      <c r="B552" s="11">
        <v>0.2</v>
      </c>
      <c r="C552" s="7">
        <v>0.9</v>
      </c>
      <c r="D552" s="28">
        <v>3.1284474275463778</v>
      </c>
      <c r="E552" s="28"/>
    </row>
    <row r="553" spans="1:5" x14ac:dyDescent="0.25">
      <c r="A553" s="11">
        <v>0.7</v>
      </c>
      <c r="B553" s="11">
        <v>0.3</v>
      </c>
      <c r="C553" s="7">
        <v>0.1</v>
      </c>
      <c r="D553" s="28">
        <v>3.1767718024091094</v>
      </c>
      <c r="E553" s="28"/>
    </row>
    <row r="554" spans="1:5" x14ac:dyDescent="0.25">
      <c r="A554" s="11">
        <v>0.7</v>
      </c>
      <c r="B554" s="11">
        <v>0.3</v>
      </c>
      <c r="C554" s="7">
        <v>0.2</v>
      </c>
      <c r="D554" s="28">
        <v>3.1687341465356904</v>
      </c>
      <c r="E554" s="28"/>
    </row>
    <row r="555" spans="1:5" x14ac:dyDescent="0.25">
      <c r="A555" s="11">
        <v>0.7</v>
      </c>
      <c r="B555" s="11">
        <v>0.3</v>
      </c>
      <c r="C555" s="7">
        <v>0.3</v>
      </c>
      <c r="D555" s="28">
        <v>3.1607136320874143</v>
      </c>
      <c r="E555" s="28"/>
    </row>
    <row r="556" spans="1:5" x14ac:dyDescent="0.25">
      <c r="A556" s="11">
        <v>0.7</v>
      </c>
      <c r="B556" s="11">
        <v>0.3</v>
      </c>
      <c r="C556" s="7">
        <v>0.4</v>
      </c>
      <c r="D556" s="28">
        <v>3.1527102296990277</v>
      </c>
      <c r="E556" s="28"/>
    </row>
    <row r="557" spans="1:5" x14ac:dyDescent="0.25">
      <c r="A557" s="11">
        <v>0.7</v>
      </c>
      <c r="B557" s="11">
        <v>0.3</v>
      </c>
      <c r="C557" s="7">
        <v>0.5</v>
      </c>
      <c r="D557" s="28">
        <v>3.1447239100723241</v>
      </c>
      <c r="E557" s="28"/>
    </row>
    <row r="558" spans="1:5" x14ac:dyDescent="0.25">
      <c r="A558" s="11">
        <v>0.7</v>
      </c>
      <c r="B558" s="11">
        <v>0.3</v>
      </c>
      <c r="C558" s="7">
        <v>0.6</v>
      </c>
      <c r="D558" s="28">
        <v>3.1367546439759297</v>
      </c>
      <c r="E558" s="28"/>
    </row>
    <row r="559" spans="1:5" x14ac:dyDescent="0.25">
      <c r="A559" s="11">
        <v>0.7</v>
      </c>
      <c r="B559" s="11">
        <v>0.3</v>
      </c>
      <c r="C559" s="7">
        <v>0.7</v>
      </c>
      <c r="D559" s="28">
        <v>3.1288024022451477</v>
      </c>
      <c r="E559" s="28"/>
    </row>
    <row r="560" spans="1:5" x14ac:dyDescent="0.25">
      <c r="A560" s="11">
        <v>0.7</v>
      </c>
      <c r="B560" s="11">
        <v>0.3</v>
      </c>
      <c r="C560" s="7">
        <v>0.8</v>
      </c>
      <c r="D560" s="28">
        <v>3.1208671557817227</v>
      </c>
      <c r="E560" s="28"/>
    </row>
    <row r="561" spans="1:5" x14ac:dyDescent="0.25">
      <c r="A561" s="11">
        <v>0.7</v>
      </c>
      <c r="B561" s="11">
        <v>0.3</v>
      </c>
      <c r="C561" s="7">
        <v>0.9</v>
      </c>
      <c r="D561" s="28">
        <v>3.1129488755536854</v>
      </c>
      <c r="E561" s="28"/>
    </row>
    <row r="562" spans="1:5" x14ac:dyDescent="0.25">
      <c r="A562" s="11">
        <v>0.7</v>
      </c>
      <c r="B562" s="11">
        <v>0.4</v>
      </c>
      <c r="C562" s="7">
        <v>0.1</v>
      </c>
      <c r="D562" s="28">
        <v>3.2315128669056632</v>
      </c>
      <c r="E562" s="28"/>
    </row>
    <row r="563" spans="1:5" x14ac:dyDescent="0.25">
      <c r="A563" s="11">
        <v>0.7</v>
      </c>
      <c r="B563" s="11">
        <v>0.4</v>
      </c>
      <c r="C563" s="7">
        <v>0.2</v>
      </c>
      <c r="D563" s="28">
        <v>3.2222759217274533</v>
      </c>
      <c r="E563" s="28"/>
    </row>
    <row r="564" spans="1:5" x14ac:dyDescent="0.25">
      <c r="A564" s="11">
        <v>0.7</v>
      </c>
      <c r="B564" s="11">
        <v>0.4</v>
      </c>
      <c r="C564" s="7">
        <v>0.3</v>
      </c>
      <c r="D564" s="28">
        <v>3.2130581134137413</v>
      </c>
      <c r="E564" s="28"/>
    </row>
    <row r="565" spans="1:5" x14ac:dyDescent="0.25">
      <c r="A565" s="11">
        <v>0.7</v>
      </c>
      <c r="B565" s="11">
        <v>0.4</v>
      </c>
      <c r="C565" s="7">
        <v>0.4</v>
      </c>
      <c r="D565" s="28">
        <v>3.2038594091808572</v>
      </c>
      <c r="E565" s="28"/>
    </row>
    <row r="566" spans="1:5" x14ac:dyDescent="0.25">
      <c r="A566" s="11">
        <v>0.7</v>
      </c>
      <c r="B566" s="11">
        <v>0.4</v>
      </c>
      <c r="C566" s="7">
        <v>0.5</v>
      </c>
      <c r="D566" s="28">
        <v>3.1946797763199712</v>
      </c>
      <c r="E566" s="28"/>
    </row>
    <row r="567" spans="1:5" x14ac:dyDescent="0.25">
      <c r="A567" s="11">
        <v>0.7</v>
      </c>
      <c r="B567" s="11">
        <v>0.4</v>
      </c>
      <c r="C567" s="7">
        <v>0.6</v>
      </c>
      <c r="D567" s="28">
        <v>3.1855191821968947</v>
      </c>
      <c r="E567" s="28"/>
    </row>
    <row r="568" spans="1:5" x14ac:dyDescent="0.25">
      <c r="A568" s="11">
        <v>0.7</v>
      </c>
      <c r="B568" s="11">
        <v>0.4</v>
      </c>
      <c r="C568" s="7">
        <v>0.7</v>
      </c>
      <c r="D568" s="28">
        <v>3.1763775942518335</v>
      </c>
      <c r="E568" s="28"/>
    </row>
    <row r="569" spans="1:5" x14ac:dyDescent="0.25">
      <c r="A569" s="11">
        <v>0.7</v>
      </c>
      <c r="B569" s="11">
        <v>0.4</v>
      </c>
      <c r="C569" s="7">
        <v>0.8</v>
      </c>
      <c r="D569" s="28">
        <v>3.1672549799992127</v>
      </c>
      <c r="E569" s="28"/>
    </row>
    <row r="570" spans="1:5" x14ac:dyDescent="0.25">
      <c r="A570" s="11">
        <v>0.7</v>
      </c>
      <c r="B570" s="11">
        <v>0.4</v>
      </c>
      <c r="C570" s="7">
        <v>0.9</v>
      </c>
      <c r="D570" s="28">
        <v>3.158151307027437</v>
      </c>
      <c r="E570" s="28"/>
    </row>
    <row r="571" spans="1:5" x14ac:dyDescent="0.25">
      <c r="A571" s="11">
        <v>0.7</v>
      </c>
      <c r="B571" s="11">
        <v>0.5</v>
      </c>
      <c r="C571" s="7">
        <v>0.1</v>
      </c>
      <c r="D571" s="28">
        <v>3.2877103897985918</v>
      </c>
      <c r="E571" s="28"/>
    </row>
    <row r="572" spans="1:5" x14ac:dyDescent="0.25">
      <c r="A572" s="11">
        <v>0.7</v>
      </c>
      <c r="B572" s="11">
        <v>0.5</v>
      </c>
      <c r="C572" s="7">
        <v>0.2</v>
      </c>
      <c r="D572" s="28">
        <v>3.2772736192191796</v>
      </c>
      <c r="E572" s="28"/>
    </row>
    <row r="573" spans="1:5" x14ac:dyDescent="0.25">
      <c r="A573" s="11">
        <v>0.7</v>
      </c>
      <c r="B573" s="11">
        <v>0.5</v>
      </c>
      <c r="C573" s="7">
        <v>0.3</v>
      </c>
      <c r="D573" s="28">
        <v>3.2668580770504563</v>
      </c>
      <c r="E573" s="28"/>
    </row>
    <row r="574" spans="1:5" x14ac:dyDescent="0.25">
      <c r="A574" s="11">
        <v>0.7</v>
      </c>
      <c r="B574" s="11">
        <v>0.5</v>
      </c>
      <c r="C574" s="7">
        <v>0.4</v>
      </c>
      <c r="D574" s="28">
        <v>3.2564637269256931</v>
      </c>
      <c r="E574" s="28"/>
    </row>
    <row r="575" spans="1:5" x14ac:dyDescent="0.25">
      <c r="A575" s="11">
        <v>0.7</v>
      </c>
      <c r="B575" s="11">
        <v>0.5</v>
      </c>
      <c r="C575" s="7">
        <v>0.5</v>
      </c>
      <c r="D575" s="28">
        <v>3.24609053256119</v>
      </c>
      <c r="E575" s="28"/>
    </row>
    <row r="576" spans="1:5" x14ac:dyDescent="0.25">
      <c r="A576" s="11">
        <v>0.7</v>
      </c>
      <c r="B576" s="11">
        <v>0.5</v>
      </c>
      <c r="C576" s="7">
        <v>0.6</v>
      </c>
      <c r="D576" s="28">
        <v>3.235738457756014</v>
      </c>
      <c r="E576" s="28"/>
    </row>
    <row r="577" spans="1:5" x14ac:dyDescent="0.25">
      <c r="A577" s="11">
        <v>0.7</v>
      </c>
      <c r="B577" s="11">
        <v>0.5</v>
      </c>
      <c r="C577" s="7">
        <v>0.7</v>
      </c>
      <c r="D577" s="28">
        <v>3.2254074663917978</v>
      </c>
      <c r="E577" s="28"/>
    </row>
    <row r="578" spans="1:5" x14ac:dyDescent="0.25">
      <c r="A578" s="11">
        <v>0.7</v>
      </c>
      <c r="B578" s="11">
        <v>0.5</v>
      </c>
      <c r="C578" s="7">
        <v>0.8</v>
      </c>
      <c r="D578" s="28">
        <v>3.2150975224324725</v>
      </c>
      <c r="E578" s="28"/>
    </row>
    <row r="579" spans="1:5" x14ac:dyDescent="0.25">
      <c r="A579" s="11">
        <v>0.7</v>
      </c>
      <c r="B579" s="11">
        <v>0.5</v>
      </c>
      <c r="C579" s="7">
        <v>0.9</v>
      </c>
      <c r="D579" s="28">
        <v>3.2048085899240459</v>
      </c>
      <c r="E579" s="28"/>
    </row>
    <row r="580" spans="1:5" x14ac:dyDescent="0.25">
      <c r="A580" s="11">
        <v>0.7</v>
      </c>
      <c r="B580" s="11">
        <v>0.6</v>
      </c>
      <c r="C580" s="7">
        <v>0.1</v>
      </c>
      <c r="D580" s="28">
        <v>3.3536202404514355</v>
      </c>
      <c r="E580" s="28"/>
    </row>
    <row r="581" spans="1:5" x14ac:dyDescent="0.25">
      <c r="A581" s="11">
        <v>0.7</v>
      </c>
      <c r="B581" s="11">
        <v>0.6</v>
      </c>
      <c r="C581" s="7">
        <v>0.2</v>
      </c>
      <c r="D581" s="28">
        <v>3.3419828672907332</v>
      </c>
      <c r="E581" s="28"/>
    </row>
    <row r="582" spans="1:5" x14ac:dyDescent="0.25">
      <c r="A582" s="11">
        <v>0.7</v>
      </c>
      <c r="B582" s="11">
        <v>0.6</v>
      </c>
      <c r="C582" s="7">
        <v>0.3</v>
      </c>
      <c r="D582" s="28">
        <v>3.3303689100767944</v>
      </c>
      <c r="E582" s="28"/>
    </row>
    <row r="583" spans="1:5" x14ac:dyDescent="0.25">
      <c r="A583" s="11">
        <v>0.7</v>
      </c>
      <c r="B583" s="11">
        <v>0.6</v>
      </c>
      <c r="C583" s="7">
        <v>0.4</v>
      </c>
      <c r="D583" s="28">
        <v>3.3187783286953887</v>
      </c>
      <c r="E583" s="28"/>
    </row>
    <row r="584" spans="1:5" x14ac:dyDescent="0.25">
      <c r="A584" s="11">
        <v>0.7</v>
      </c>
      <c r="B584" s="11">
        <v>0.6</v>
      </c>
      <c r="C584" s="7">
        <v>0.5</v>
      </c>
      <c r="D584" s="28">
        <v>3.3072110831238679</v>
      </c>
      <c r="E584" s="28"/>
    </row>
    <row r="585" spans="1:5" x14ac:dyDescent="0.25">
      <c r="A585" s="11">
        <v>0.7</v>
      </c>
      <c r="B585" s="11">
        <v>0.6</v>
      </c>
      <c r="C585" s="7">
        <v>0.6</v>
      </c>
      <c r="D585" s="28">
        <v>3.2956671334308809</v>
      </c>
      <c r="E585" s="28"/>
    </row>
    <row r="586" spans="1:5" x14ac:dyDescent="0.25">
      <c r="A586" s="11">
        <v>0.7</v>
      </c>
      <c r="B586" s="11">
        <v>0.6</v>
      </c>
      <c r="C586" s="7">
        <v>0.7</v>
      </c>
      <c r="D586" s="28">
        <v>3.2841464397761486</v>
      </c>
      <c r="E586" s="28"/>
    </row>
    <row r="587" spans="1:5" x14ac:dyDescent="0.25">
      <c r="A587" s="11">
        <v>0.7</v>
      </c>
      <c r="B587" s="11">
        <v>0.6</v>
      </c>
      <c r="C587" s="7">
        <v>0.8</v>
      </c>
      <c r="D587" s="28">
        <v>3.2726489624101798</v>
      </c>
      <c r="E587" s="28"/>
    </row>
    <row r="588" spans="1:5" x14ac:dyDescent="0.25">
      <c r="A588" s="11">
        <v>0.7</v>
      </c>
      <c r="B588" s="11">
        <v>0.6</v>
      </c>
      <c r="C588" s="7">
        <v>0.9</v>
      </c>
      <c r="D588" s="28">
        <v>3.2611746616740049</v>
      </c>
      <c r="E588" s="28"/>
    </row>
    <row r="589" spans="1:5" x14ac:dyDescent="0.25">
      <c r="A589" s="11">
        <v>0.7</v>
      </c>
      <c r="B589" s="11">
        <v>0.7</v>
      </c>
      <c r="C589" s="7">
        <v>0.1</v>
      </c>
      <c r="D589" s="28">
        <v>3.4334714376591609</v>
      </c>
      <c r="E589" s="28"/>
    </row>
    <row r="590" spans="1:5" x14ac:dyDescent="0.25">
      <c r="A590" s="11">
        <v>0.7</v>
      </c>
      <c r="B590" s="11">
        <v>0.7</v>
      </c>
      <c r="C590" s="7">
        <v>0.2</v>
      </c>
      <c r="D590" s="28">
        <v>3.4206325095129699</v>
      </c>
      <c r="E590" s="28"/>
    </row>
    <row r="591" spans="1:5" x14ac:dyDescent="0.25">
      <c r="A591" s="11">
        <v>0.7</v>
      </c>
      <c r="B591" s="11">
        <v>0.7</v>
      </c>
      <c r="C591" s="7">
        <v>0.3</v>
      </c>
      <c r="D591" s="28">
        <v>3.4078192807227312</v>
      </c>
      <c r="E591" s="28"/>
    </row>
    <row r="592" spans="1:5" x14ac:dyDescent="0.25">
      <c r="A592" s="11">
        <v>0.7</v>
      </c>
      <c r="B592" s="11">
        <v>0.7</v>
      </c>
      <c r="C592" s="7">
        <v>0.4</v>
      </c>
      <c r="D592" s="28">
        <v>3.3950317072624703</v>
      </c>
      <c r="E592" s="28"/>
    </row>
    <row r="593" spans="1:5" x14ac:dyDescent="0.25">
      <c r="A593" s="11">
        <v>0.7</v>
      </c>
      <c r="B593" s="11">
        <v>0.7</v>
      </c>
      <c r="C593" s="7">
        <v>0.5</v>
      </c>
      <c r="D593" s="28">
        <v>3.3822697452067092</v>
      </c>
      <c r="E593" s="28"/>
    </row>
    <row r="594" spans="1:5" x14ac:dyDescent="0.25">
      <c r="A594" s="11">
        <v>0.7</v>
      </c>
      <c r="B594" s="11">
        <v>0.7</v>
      </c>
      <c r="C594" s="7">
        <v>0.6</v>
      </c>
      <c r="D594" s="28">
        <v>3.3695333507302028</v>
      </c>
      <c r="E594" s="28"/>
    </row>
    <row r="595" spans="1:5" x14ac:dyDescent="0.25">
      <c r="A595" s="11">
        <v>0.7</v>
      </c>
      <c r="B595" s="11">
        <v>0.7</v>
      </c>
      <c r="C595" s="7">
        <v>0.7</v>
      </c>
      <c r="D595" s="28">
        <v>3.3568224801076316</v>
      </c>
      <c r="E595" s="28"/>
    </row>
    <row r="596" spans="1:5" x14ac:dyDescent="0.25">
      <c r="A596" s="11">
        <v>0.7</v>
      </c>
      <c r="B596" s="11">
        <v>0.7</v>
      </c>
      <c r="C596" s="7">
        <v>0.8</v>
      </c>
      <c r="D596" s="28">
        <v>3.3441370897133282</v>
      </c>
      <c r="E596" s="28"/>
    </row>
    <row r="597" spans="1:5" x14ac:dyDescent="0.25">
      <c r="A597" s="11">
        <v>0.7</v>
      </c>
      <c r="B597" s="11">
        <v>0.7</v>
      </c>
      <c r="C597" s="7">
        <v>0.9</v>
      </c>
      <c r="D597" s="28">
        <v>3.3314771360209843</v>
      </c>
      <c r="E597" s="28"/>
    </row>
    <row r="598" spans="1:5" x14ac:dyDescent="0.25">
      <c r="A598" s="11">
        <v>0.7</v>
      </c>
      <c r="B598" s="11">
        <v>0.8</v>
      </c>
      <c r="C598" s="7">
        <v>0.1</v>
      </c>
      <c r="D598" s="28">
        <v>3.5292631205970095</v>
      </c>
      <c r="E598" s="28"/>
    </row>
    <row r="599" spans="1:5" x14ac:dyDescent="0.25">
      <c r="A599" s="11">
        <v>0.7</v>
      </c>
      <c r="B599" s="11">
        <v>0.8</v>
      </c>
      <c r="C599" s="7">
        <v>0.2</v>
      </c>
      <c r="D599" s="28">
        <v>3.5152217011653848</v>
      </c>
      <c r="E599" s="28"/>
    </row>
    <row r="600" spans="1:5" x14ac:dyDescent="0.25">
      <c r="A600" s="11">
        <v>0.7</v>
      </c>
      <c r="B600" s="11">
        <v>0.8</v>
      </c>
      <c r="C600" s="7">
        <v>0.3</v>
      </c>
      <c r="D600" s="28">
        <v>3.501208360255426</v>
      </c>
      <c r="E600" s="28"/>
    </row>
    <row r="601" spans="1:5" x14ac:dyDescent="0.25">
      <c r="A601" s="11">
        <v>0.7</v>
      </c>
      <c r="B601" s="11">
        <v>0.8</v>
      </c>
      <c r="C601" s="7">
        <v>0.4</v>
      </c>
      <c r="D601" s="28">
        <v>3.4872230497653693</v>
      </c>
      <c r="E601" s="28"/>
    </row>
    <row r="602" spans="1:5" x14ac:dyDescent="0.25">
      <c r="A602" s="11">
        <v>0.7</v>
      </c>
      <c r="B602" s="11">
        <v>0.8</v>
      </c>
      <c r="C602" s="7">
        <v>0.5</v>
      </c>
      <c r="D602" s="28">
        <v>3.4732657217032643</v>
      </c>
      <c r="E602" s="28"/>
    </row>
    <row r="603" spans="1:5" x14ac:dyDescent="0.25">
      <c r="A603" s="11">
        <v>0.7</v>
      </c>
      <c r="B603" s="11">
        <v>0.8</v>
      </c>
      <c r="C603" s="7">
        <v>0.6</v>
      </c>
      <c r="D603" s="28">
        <v>3.4593363281866516</v>
      </c>
      <c r="E603" s="28"/>
    </row>
    <row r="604" spans="1:5" x14ac:dyDescent="0.25">
      <c r="A604" s="11">
        <v>0.7</v>
      </c>
      <c r="B604" s="11">
        <v>0.8</v>
      </c>
      <c r="C604" s="7">
        <v>0.7</v>
      </c>
      <c r="D604" s="28">
        <v>3.445434821442265</v>
      </c>
      <c r="E604" s="28"/>
    </row>
    <row r="605" spans="1:5" x14ac:dyDescent="0.25">
      <c r="A605" s="11">
        <v>0.7</v>
      </c>
      <c r="B605" s="11">
        <v>0.8</v>
      </c>
      <c r="C605" s="7">
        <v>0.8</v>
      </c>
      <c r="D605" s="28">
        <v>3.4315611538057067</v>
      </c>
      <c r="E605" s="28"/>
    </row>
    <row r="606" spans="1:5" x14ac:dyDescent="0.25">
      <c r="A606" s="11">
        <v>0.7</v>
      </c>
      <c r="B606" s="11">
        <v>0.8</v>
      </c>
      <c r="C606" s="7">
        <v>0.9</v>
      </c>
      <c r="D606" s="28">
        <v>3.4177152777211344</v>
      </c>
      <c r="E606" s="28"/>
    </row>
    <row r="607" spans="1:5" x14ac:dyDescent="0.25">
      <c r="A607" s="11">
        <v>0.7</v>
      </c>
      <c r="B607" s="11">
        <v>0.9</v>
      </c>
      <c r="C607" s="7">
        <v>0.1</v>
      </c>
      <c r="D607" s="28">
        <v>3.6417228301168221</v>
      </c>
      <c r="E607" s="28"/>
    </row>
    <row r="608" spans="1:5" x14ac:dyDescent="0.25">
      <c r="A608" s="11">
        <v>0.7</v>
      </c>
      <c r="B608" s="11">
        <v>0.9</v>
      </c>
      <c r="C608" s="7">
        <v>0.2</v>
      </c>
      <c r="D608" s="28">
        <v>3.6264782646583082</v>
      </c>
      <c r="E608" s="28"/>
    </row>
    <row r="609" spans="1:5" x14ac:dyDescent="0.25">
      <c r="A609" s="11">
        <v>0.7</v>
      </c>
      <c r="B609" s="11">
        <v>0.9</v>
      </c>
      <c r="C609" s="7">
        <v>0.3</v>
      </c>
      <c r="D609" s="28">
        <v>3.6112642525273086</v>
      </c>
      <c r="E609" s="28"/>
    </row>
    <row r="610" spans="1:5" x14ac:dyDescent="0.25">
      <c r="A610" s="11">
        <v>0.7</v>
      </c>
      <c r="B610" s="11">
        <v>0.9</v>
      </c>
      <c r="C610" s="7">
        <v>0.4</v>
      </c>
      <c r="D610" s="28">
        <v>3.5960807413824396</v>
      </c>
      <c r="E610" s="28"/>
    </row>
    <row r="611" spans="1:5" x14ac:dyDescent="0.25">
      <c r="A611" s="11">
        <v>0.7</v>
      </c>
      <c r="B611" s="11">
        <v>0.9</v>
      </c>
      <c r="C611" s="7">
        <v>0.5</v>
      </c>
      <c r="D611" s="28">
        <v>3.580927679001789</v>
      </c>
      <c r="E611" s="28"/>
    </row>
    <row r="612" spans="1:5" x14ac:dyDescent="0.25">
      <c r="A612" s="11">
        <v>0.7</v>
      </c>
      <c r="B612" s="11">
        <v>0.9</v>
      </c>
      <c r="C612" s="7">
        <v>0.6</v>
      </c>
      <c r="D612" s="28">
        <v>3.5658050132826093</v>
      </c>
      <c r="E612" s="28"/>
    </row>
    <row r="613" spans="1:5" x14ac:dyDescent="0.25">
      <c r="A613" s="11">
        <v>0.7</v>
      </c>
      <c r="B613" s="11">
        <v>0.9</v>
      </c>
      <c r="C613" s="7">
        <v>0.7</v>
      </c>
      <c r="D613" s="28">
        <v>3.5507126922409484</v>
      </c>
      <c r="E613" s="28"/>
    </row>
    <row r="614" spans="1:5" x14ac:dyDescent="0.25">
      <c r="A614" s="11">
        <v>0.7</v>
      </c>
      <c r="B614" s="11">
        <v>0.9</v>
      </c>
      <c r="C614" s="7">
        <v>0.8</v>
      </c>
      <c r="D614" s="28">
        <v>3.5356506640113281</v>
      </c>
      <c r="E614" s="28"/>
    </row>
    <row r="615" spans="1:5" ht="15.75" thickBot="1" x14ac:dyDescent="0.3">
      <c r="A615" s="11">
        <v>0.7</v>
      </c>
      <c r="B615" s="27">
        <v>0.9</v>
      </c>
      <c r="C615" s="9">
        <v>0.9</v>
      </c>
      <c r="D615" s="28">
        <v>3.5206188768464042</v>
      </c>
      <c r="E615" s="28"/>
    </row>
    <row r="616" spans="1:5" x14ac:dyDescent="0.25">
      <c r="A616" s="11">
        <v>0.8</v>
      </c>
      <c r="B616" s="11">
        <v>0.1</v>
      </c>
      <c r="C616" s="7">
        <v>0.1</v>
      </c>
      <c r="D616" s="28">
        <v>3.2878770594344577</v>
      </c>
      <c r="E616" s="28"/>
    </row>
    <row r="617" spans="1:5" x14ac:dyDescent="0.25">
      <c r="A617" s="11">
        <v>0.8</v>
      </c>
      <c r="B617" s="11">
        <v>0.1</v>
      </c>
      <c r="C617" s="7">
        <v>0.2</v>
      </c>
      <c r="D617" s="28">
        <v>3.2828518549196066</v>
      </c>
      <c r="E617" s="28"/>
    </row>
    <row r="618" spans="1:5" x14ac:dyDescent="0.25">
      <c r="A618" s="11">
        <v>0.8</v>
      </c>
      <c r="B618" s="11">
        <v>0.1</v>
      </c>
      <c r="C618" s="7">
        <v>0.3</v>
      </c>
      <c r="D618" s="28">
        <v>3.277833894884151</v>
      </c>
      <c r="E618" s="28"/>
    </row>
    <row r="619" spans="1:5" x14ac:dyDescent="0.25">
      <c r="A619" s="11">
        <v>0.8</v>
      </c>
      <c r="B619" s="11">
        <v>0.1</v>
      </c>
      <c r="C619" s="7">
        <v>0.4</v>
      </c>
      <c r="D619" s="28">
        <v>3.2728231710637838</v>
      </c>
      <c r="E619" s="28"/>
    </row>
    <row r="620" spans="1:5" x14ac:dyDescent="0.25">
      <c r="A620" s="11">
        <v>0.8</v>
      </c>
      <c r="B620" s="11">
        <v>0.1</v>
      </c>
      <c r="C620" s="7">
        <v>0.5</v>
      </c>
      <c r="D620" s="28">
        <v>3.2678196752067521</v>
      </c>
      <c r="E620" s="28"/>
    </row>
    <row r="621" spans="1:5" x14ac:dyDescent="0.25">
      <c r="A621" s="11">
        <v>0.8</v>
      </c>
      <c r="B621" s="11">
        <v>0.1</v>
      </c>
      <c r="C621" s="7">
        <v>0.6</v>
      </c>
      <c r="D621" s="28">
        <v>3.262823399073838</v>
      </c>
      <c r="E621" s="28"/>
    </row>
    <row r="622" spans="1:5" x14ac:dyDescent="0.25">
      <c r="A622" s="11">
        <v>0.8</v>
      </c>
      <c r="B622" s="11">
        <v>0.1</v>
      </c>
      <c r="C622" s="7">
        <v>0.7</v>
      </c>
      <c r="D622" s="28">
        <v>3.2578343344383645</v>
      </c>
      <c r="E622" s="28"/>
    </row>
    <row r="623" spans="1:5" x14ac:dyDescent="0.25">
      <c r="A623" s="11">
        <v>0.8</v>
      </c>
      <c r="B623" s="11">
        <v>0.1</v>
      </c>
      <c r="C623" s="7">
        <v>0.8</v>
      </c>
      <c r="D623" s="28">
        <v>3.2528524730861168</v>
      </c>
      <c r="E623" s="28"/>
    </row>
    <row r="624" spans="1:5" x14ac:dyDescent="0.25">
      <c r="A624" s="11">
        <v>0.8</v>
      </c>
      <c r="B624" s="11">
        <v>0.1</v>
      </c>
      <c r="C624" s="7">
        <v>0.9</v>
      </c>
      <c r="D624" s="28">
        <v>3.2478778068153829</v>
      </c>
      <c r="E624" s="28"/>
    </row>
    <row r="625" spans="1:5" x14ac:dyDescent="0.25">
      <c r="A625" s="11">
        <v>0.8</v>
      </c>
      <c r="B625" s="11">
        <v>0.2</v>
      </c>
      <c r="C625" s="7">
        <v>0.1</v>
      </c>
      <c r="D625" s="28">
        <v>3.3331118630883831</v>
      </c>
      <c r="E625" s="28"/>
    </row>
    <row r="626" spans="1:5" x14ac:dyDescent="0.25">
      <c r="A626" s="11">
        <v>0.8</v>
      </c>
      <c r="B626" s="11">
        <v>0.2</v>
      </c>
      <c r="C626" s="7">
        <v>0.2</v>
      </c>
      <c r="D626" s="28">
        <v>3.3271727888869589</v>
      </c>
      <c r="E626" s="28"/>
    </row>
    <row r="627" spans="1:5" x14ac:dyDescent="0.25">
      <c r="A627" s="11">
        <v>0.8</v>
      </c>
      <c r="B627" s="11">
        <v>0.2</v>
      </c>
      <c r="C627" s="7">
        <v>0.3</v>
      </c>
      <c r="D627" s="28">
        <v>3.3212419555893704</v>
      </c>
      <c r="E627" s="28"/>
    </row>
    <row r="628" spans="1:5" x14ac:dyDescent="0.25">
      <c r="A628" s="11">
        <v>0.8</v>
      </c>
      <c r="B628" s="11">
        <v>0.2</v>
      </c>
      <c r="C628" s="7">
        <v>0.4</v>
      </c>
      <c r="D628" s="28">
        <v>3.315319353794608</v>
      </c>
      <c r="E628" s="28"/>
    </row>
    <row r="629" spans="1:5" x14ac:dyDescent="0.25">
      <c r="A629" s="11">
        <v>0.8</v>
      </c>
      <c r="B629" s="11">
        <v>0.2</v>
      </c>
      <c r="C629" s="7">
        <v>0.5</v>
      </c>
      <c r="D629" s="28">
        <v>3.3094049741159548</v>
      </c>
      <c r="E629" s="28"/>
    </row>
    <row r="630" spans="1:5" x14ac:dyDescent="0.25">
      <c r="A630" s="11">
        <v>0.8</v>
      </c>
      <c r="B630" s="11">
        <v>0.2</v>
      </c>
      <c r="C630" s="7">
        <v>0.6</v>
      </c>
      <c r="D630" s="28">
        <v>3.3034988071809539</v>
      </c>
      <c r="E630" s="28"/>
    </row>
    <row r="631" spans="1:5" x14ac:dyDescent="0.25">
      <c r="A631" s="11">
        <v>0.8</v>
      </c>
      <c r="B631" s="11">
        <v>0.2</v>
      </c>
      <c r="C631" s="7">
        <v>0.7</v>
      </c>
      <c r="D631" s="28">
        <v>3.2976008436314119</v>
      </c>
      <c r="E631" s="28"/>
    </row>
    <row r="632" spans="1:5" x14ac:dyDescent="0.25">
      <c r="A632" s="11">
        <v>0.8</v>
      </c>
      <c r="B632" s="11">
        <v>0.2</v>
      </c>
      <c r="C632" s="7">
        <v>0.8</v>
      </c>
      <c r="D632" s="28">
        <v>3.2917110741232989</v>
      </c>
      <c r="E632" s="28"/>
    </row>
    <row r="633" spans="1:5" x14ac:dyDescent="0.25">
      <c r="A633" s="11">
        <v>0.8</v>
      </c>
      <c r="B633" s="11">
        <v>0.2</v>
      </c>
      <c r="C633" s="7">
        <v>0.9</v>
      </c>
      <c r="D633" s="28">
        <v>3.2858294893268321</v>
      </c>
      <c r="E633" s="28"/>
    </row>
    <row r="634" spans="1:5" x14ac:dyDescent="0.25">
      <c r="A634" s="11">
        <v>0.8</v>
      </c>
      <c r="B634" s="11">
        <v>0.3</v>
      </c>
      <c r="C634" s="7">
        <v>0.1</v>
      </c>
      <c r="D634" s="28">
        <v>3.4285125478510823</v>
      </c>
      <c r="E634" s="28"/>
    </row>
    <row r="635" spans="1:5" x14ac:dyDescent="0.25">
      <c r="A635" s="11">
        <v>0.8</v>
      </c>
      <c r="B635" s="11">
        <v>0.3</v>
      </c>
      <c r="C635" s="7">
        <v>0.2</v>
      </c>
      <c r="D635" s="28">
        <v>3.4216600225731058</v>
      </c>
      <c r="E635" s="28"/>
    </row>
    <row r="636" spans="1:5" x14ac:dyDescent="0.25">
      <c r="A636" s="11">
        <v>0.8</v>
      </c>
      <c r="B636" s="11">
        <v>0.3</v>
      </c>
      <c r="C636" s="7">
        <v>0.3</v>
      </c>
      <c r="D636" s="28">
        <v>3.4148167907025155</v>
      </c>
      <c r="E636" s="28"/>
    </row>
    <row r="637" spans="1:5" x14ac:dyDescent="0.25">
      <c r="A637" s="11">
        <v>0.8</v>
      </c>
      <c r="B637" s="11">
        <v>0.3</v>
      </c>
      <c r="C637" s="7">
        <v>0.4</v>
      </c>
      <c r="D637" s="28">
        <v>3.4079828416376214</v>
      </c>
      <c r="E637" s="28"/>
    </row>
    <row r="638" spans="1:5" x14ac:dyDescent="0.25">
      <c r="A638" s="11">
        <v>0.8</v>
      </c>
      <c r="B638" s="11">
        <v>0.3</v>
      </c>
      <c r="C638" s="7">
        <v>0.5</v>
      </c>
      <c r="D638" s="28">
        <v>3.4011581647928684</v>
      </c>
      <c r="E638" s="28"/>
    </row>
    <row r="639" spans="1:5" x14ac:dyDescent="0.25">
      <c r="A639" s="11">
        <v>0.8</v>
      </c>
      <c r="B639" s="11">
        <v>0.3</v>
      </c>
      <c r="C639" s="7">
        <v>0.6</v>
      </c>
      <c r="D639" s="28">
        <v>3.3943427495987764</v>
      </c>
      <c r="E639" s="28"/>
    </row>
    <row r="640" spans="1:5" x14ac:dyDescent="0.25">
      <c r="A640" s="11">
        <v>0.8</v>
      </c>
      <c r="B640" s="11">
        <v>0.3</v>
      </c>
      <c r="C640" s="7">
        <v>0.7</v>
      </c>
      <c r="D640" s="28">
        <v>3.3875365855019455</v>
      </c>
      <c r="E640" s="28"/>
    </row>
    <row r="641" spans="1:5" x14ac:dyDescent="0.25">
      <c r="A641" s="11">
        <v>0.8</v>
      </c>
      <c r="B641" s="11">
        <v>0.3</v>
      </c>
      <c r="C641" s="7">
        <v>0.8</v>
      </c>
      <c r="D641" s="28">
        <v>3.3807396619649679</v>
      </c>
      <c r="E641" s="28"/>
    </row>
    <row r="642" spans="1:5" x14ac:dyDescent="0.25">
      <c r="A642" s="11">
        <v>0.8</v>
      </c>
      <c r="B642" s="11">
        <v>0.3</v>
      </c>
      <c r="C642" s="7">
        <v>0.9</v>
      </c>
      <c r="D642" s="28">
        <v>3.3739519684664727</v>
      </c>
      <c r="E642" s="28"/>
    </row>
    <row r="643" spans="1:5" x14ac:dyDescent="0.25">
      <c r="A643" s="11">
        <v>0.8</v>
      </c>
      <c r="B643" s="11">
        <v>0.4</v>
      </c>
      <c r="C643" s="7">
        <v>0.1</v>
      </c>
      <c r="D643" s="28">
        <v>3.5198777637578371</v>
      </c>
      <c r="E643" s="28"/>
    </row>
    <row r="644" spans="1:5" x14ac:dyDescent="0.25">
      <c r="A644" s="11">
        <v>0.8</v>
      </c>
      <c r="B644" s="11">
        <v>0.4</v>
      </c>
      <c r="C644" s="7">
        <v>0.2</v>
      </c>
      <c r="D644" s="28">
        <v>3.5121120378235458</v>
      </c>
      <c r="E644" s="28"/>
    </row>
    <row r="645" spans="1:5" x14ac:dyDescent="0.25">
      <c r="A645" s="11">
        <v>0.8</v>
      </c>
      <c r="B645" s="11">
        <v>0.4</v>
      </c>
      <c r="C645" s="7">
        <v>0.3</v>
      </c>
      <c r="D645" s="28">
        <v>3.5043567138271756</v>
      </c>
      <c r="E645" s="28"/>
    </row>
    <row r="646" spans="1:5" x14ac:dyDescent="0.25">
      <c r="A646" s="11">
        <v>0.8</v>
      </c>
      <c r="B646" s="11">
        <v>0.4</v>
      </c>
      <c r="C646" s="7">
        <v>0.4</v>
      </c>
      <c r="D646" s="28">
        <v>3.4966117799024592</v>
      </c>
      <c r="E646" s="28"/>
    </row>
    <row r="647" spans="1:5" x14ac:dyDescent="0.25">
      <c r="A647" s="11">
        <v>0.8</v>
      </c>
      <c r="B647" s="11">
        <v>0.4</v>
      </c>
      <c r="C647" s="7">
        <v>0.5</v>
      </c>
      <c r="D647" s="28">
        <v>3.4888772242011741</v>
      </c>
      <c r="E647" s="28"/>
    </row>
    <row r="648" spans="1:5" x14ac:dyDescent="0.25">
      <c r="A648" s="11">
        <v>0.8</v>
      </c>
      <c r="B648" s="11">
        <v>0.4</v>
      </c>
      <c r="C648" s="7">
        <v>0.6</v>
      </c>
      <c r="D648" s="28">
        <v>3.4811530348931088</v>
      </c>
      <c r="E648" s="28"/>
    </row>
    <row r="649" spans="1:5" x14ac:dyDescent="0.25">
      <c r="A649" s="11">
        <v>0.8</v>
      </c>
      <c r="B649" s="11">
        <v>0.4</v>
      </c>
      <c r="C649" s="7">
        <v>0.7</v>
      </c>
      <c r="D649" s="28">
        <v>3.4734392001660228</v>
      </c>
      <c r="E649" s="28"/>
    </row>
    <row r="650" spans="1:5" x14ac:dyDescent="0.25">
      <c r="A650" s="11">
        <v>0.8</v>
      </c>
      <c r="B650" s="11">
        <v>0.4</v>
      </c>
      <c r="C650" s="7">
        <v>0.8</v>
      </c>
      <c r="D650" s="28">
        <v>3.4657357082256124</v>
      </c>
      <c r="E650" s="28"/>
    </row>
    <row r="651" spans="1:5" x14ac:dyDescent="0.25">
      <c r="A651" s="11">
        <v>0.8</v>
      </c>
      <c r="B651" s="11">
        <v>0.4</v>
      </c>
      <c r="C651" s="7">
        <v>0.9</v>
      </c>
      <c r="D651" s="28">
        <v>3.4580425472954839</v>
      </c>
      <c r="E651" s="28"/>
    </row>
    <row r="652" spans="1:5" x14ac:dyDescent="0.25">
      <c r="A652" s="11">
        <v>0.8</v>
      </c>
      <c r="B652" s="11">
        <v>0.5</v>
      </c>
      <c r="C652" s="7">
        <v>0.1</v>
      </c>
      <c r="D652" s="28">
        <v>3.6208343820783209</v>
      </c>
      <c r="E652" s="28"/>
    </row>
    <row r="653" spans="1:5" x14ac:dyDescent="0.25">
      <c r="A653" s="11">
        <v>0.8</v>
      </c>
      <c r="B653" s="11">
        <v>0.5</v>
      </c>
      <c r="C653" s="7">
        <v>0.2</v>
      </c>
      <c r="D653" s="28">
        <v>3.612155488655294</v>
      </c>
      <c r="E653" s="28"/>
    </row>
    <row r="654" spans="1:5" x14ac:dyDescent="0.25">
      <c r="A654" s="11">
        <v>0.8</v>
      </c>
      <c r="B654" s="11">
        <v>0.5</v>
      </c>
      <c r="C654" s="7">
        <v>0.3</v>
      </c>
      <c r="D654" s="28">
        <v>3.6034881616756707</v>
      </c>
      <c r="E654" s="28"/>
    </row>
    <row r="655" spans="1:5" x14ac:dyDescent="0.25">
      <c r="A655" s="11">
        <v>0.8</v>
      </c>
      <c r="B655" s="11">
        <v>0.5</v>
      </c>
      <c r="C655" s="7">
        <v>0.4</v>
      </c>
      <c r="D655" s="28">
        <v>3.5948323879447526</v>
      </c>
      <c r="E655" s="28"/>
    </row>
    <row r="656" spans="1:5" x14ac:dyDescent="0.25">
      <c r="A656" s="11">
        <v>0.8</v>
      </c>
      <c r="B656" s="11">
        <v>0.5</v>
      </c>
      <c r="C656" s="7">
        <v>0.5</v>
      </c>
      <c r="D656" s="28">
        <v>3.5861881542878935</v>
      </c>
      <c r="E656" s="28"/>
    </row>
    <row r="657" spans="1:5" x14ac:dyDescent="0.25">
      <c r="A657" s="11">
        <v>0.8</v>
      </c>
      <c r="B657" s="11">
        <v>0.5</v>
      </c>
      <c r="C657" s="7">
        <v>0.6</v>
      </c>
      <c r="D657" s="28">
        <v>3.5775554475504858</v>
      </c>
      <c r="E657" s="28"/>
    </row>
    <row r="658" spans="1:5" x14ac:dyDescent="0.25">
      <c r="A658" s="11">
        <v>0.8</v>
      </c>
      <c r="B658" s="11">
        <v>0.5</v>
      </c>
      <c r="C658" s="7">
        <v>0.7</v>
      </c>
      <c r="D658" s="28">
        <v>3.5689342545978904</v>
      </c>
      <c r="E658" s="28"/>
    </row>
    <row r="659" spans="1:5" x14ac:dyDescent="0.25">
      <c r="A659" s="11">
        <v>0.8</v>
      </c>
      <c r="B659" s="11">
        <v>0.5</v>
      </c>
      <c r="C659" s="7">
        <v>0.8</v>
      </c>
      <c r="D659" s="28">
        <v>3.5603245623154294</v>
      </c>
      <c r="E659" s="28"/>
    </row>
    <row r="660" spans="1:5" x14ac:dyDescent="0.25">
      <c r="A660" s="11">
        <v>0.8</v>
      </c>
      <c r="B660" s="11">
        <v>0.5</v>
      </c>
      <c r="C660" s="7">
        <v>0.9</v>
      </c>
      <c r="D660" s="28">
        <v>3.5517263576083296</v>
      </c>
      <c r="E660" s="28"/>
    </row>
    <row r="661" spans="1:5" x14ac:dyDescent="0.25">
      <c r="A661" s="11">
        <v>0.8</v>
      </c>
      <c r="B661" s="11">
        <v>0.6</v>
      </c>
      <c r="C661" s="7">
        <v>0.1</v>
      </c>
      <c r="D661" s="28">
        <v>3.7381211660230789</v>
      </c>
      <c r="E661" s="28"/>
    </row>
    <row r="662" spans="1:5" x14ac:dyDescent="0.25">
      <c r="A662" s="11">
        <v>0.8</v>
      </c>
      <c r="B662" s="11">
        <v>0.6</v>
      </c>
      <c r="C662" s="7">
        <v>0.2</v>
      </c>
      <c r="D662" s="28">
        <v>3.728529112147108</v>
      </c>
      <c r="E662" s="28"/>
    </row>
    <row r="663" spans="1:5" x14ac:dyDescent="0.25">
      <c r="A663" s="11">
        <v>0.8</v>
      </c>
      <c r="B663" s="11">
        <v>0.6</v>
      </c>
      <c r="C663" s="7">
        <v>0.3</v>
      </c>
      <c r="D663" s="28">
        <v>3.7189498451430052</v>
      </c>
      <c r="E663" s="28"/>
    </row>
    <row r="664" spans="1:5" x14ac:dyDescent="0.25">
      <c r="A664" s="11">
        <v>0.8</v>
      </c>
      <c r="B664" s="11">
        <v>0.6</v>
      </c>
      <c r="C664" s="7">
        <v>0.4</v>
      </c>
      <c r="D664" s="28">
        <v>3.7093833504238205</v>
      </c>
      <c r="E664" s="28"/>
    </row>
    <row r="665" spans="1:5" x14ac:dyDescent="0.25">
      <c r="A665" s="11">
        <v>0.8</v>
      </c>
      <c r="B665" s="11">
        <v>0.6</v>
      </c>
      <c r="C665" s="7">
        <v>0.5</v>
      </c>
      <c r="D665" s="28">
        <v>3.6998296134248054</v>
      </c>
      <c r="E665" s="28"/>
    </row>
    <row r="666" spans="1:5" x14ac:dyDescent="0.25">
      <c r="A666" s="11">
        <v>0.8</v>
      </c>
      <c r="B666" s="11">
        <v>0.6</v>
      </c>
      <c r="C666" s="7">
        <v>0.6</v>
      </c>
      <c r="D666" s="28">
        <v>3.6902886196033364</v>
      </c>
      <c r="E666" s="28"/>
    </row>
    <row r="667" spans="1:5" x14ac:dyDescent="0.25">
      <c r="A667" s="11">
        <v>0.8</v>
      </c>
      <c r="B667" s="11">
        <v>0.6</v>
      </c>
      <c r="C667" s="7">
        <v>0.7</v>
      </c>
      <c r="D667" s="28">
        <v>3.6807603544388829</v>
      </c>
      <c r="E667" s="28"/>
    </row>
    <row r="668" spans="1:5" x14ac:dyDescent="0.25">
      <c r="A668" s="11">
        <v>0.8</v>
      </c>
      <c r="B668" s="11">
        <v>0.6</v>
      </c>
      <c r="C668" s="7">
        <v>0.8</v>
      </c>
      <c r="D668" s="28">
        <v>3.6712448034329839</v>
      </c>
      <c r="E668" s="28"/>
    </row>
    <row r="669" spans="1:5" x14ac:dyDescent="0.25">
      <c r="A669" s="11">
        <v>0.8</v>
      </c>
      <c r="B669" s="11">
        <v>0.6</v>
      </c>
      <c r="C669" s="7">
        <v>0.9</v>
      </c>
      <c r="D669" s="28">
        <v>3.6617419521091601</v>
      </c>
      <c r="E669" s="28"/>
    </row>
    <row r="670" spans="1:5" x14ac:dyDescent="0.25">
      <c r="A670" s="11">
        <v>0.8</v>
      </c>
      <c r="B670" s="11">
        <v>0.7</v>
      </c>
      <c r="C670" s="7">
        <v>0.1</v>
      </c>
      <c r="D670" s="28">
        <v>3.8748070092760956</v>
      </c>
      <c r="E670" s="28"/>
    </row>
    <row r="671" spans="1:5" x14ac:dyDescent="0.25">
      <c r="A671" s="11">
        <v>0.8</v>
      </c>
      <c r="B671" s="11">
        <v>0.7</v>
      </c>
      <c r="C671" s="7">
        <v>0.2</v>
      </c>
      <c r="D671" s="28">
        <v>3.864302062034072</v>
      </c>
      <c r="E671" s="28"/>
    </row>
    <row r="672" spans="1:5" x14ac:dyDescent="0.25">
      <c r="A672" s="11">
        <v>0.8</v>
      </c>
      <c r="B672" s="11">
        <v>0.7</v>
      </c>
      <c r="C672" s="7">
        <v>0.3</v>
      </c>
      <c r="D672" s="28">
        <v>3.8538111779634145</v>
      </c>
      <c r="E672" s="28"/>
    </row>
    <row r="673" spans="1:5" x14ac:dyDescent="0.25">
      <c r="A673" s="11">
        <v>0.8</v>
      </c>
      <c r="B673" s="11">
        <v>0.7</v>
      </c>
      <c r="C673" s="7">
        <v>0.4</v>
      </c>
      <c r="D673" s="28">
        <v>3.84333434102121</v>
      </c>
      <c r="E673" s="28"/>
    </row>
    <row r="674" spans="1:5" x14ac:dyDescent="0.25">
      <c r="A674" s="11">
        <v>0.8</v>
      </c>
      <c r="B674" s="11">
        <v>0.7</v>
      </c>
      <c r="C674" s="7">
        <v>0.5</v>
      </c>
      <c r="D674" s="28">
        <v>3.8328715351889517</v>
      </c>
      <c r="E674" s="28"/>
    </row>
    <row r="675" spans="1:5" x14ac:dyDescent="0.25">
      <c r="A675" s="11">
        <v>0.8</v>
      </c>
      <c r="B675" s="11">
        <v>0.7</v>
      </c>
      <c r="C675" s="7">
        <v>0.6</v>
      </c>
      <c r="D675" s="28">
        <v>3.8224227444724708</v>
      </c>
      <c r="E675" s="28"/>
    </row>
    <row r="676" spans="1:5" x14ac:dyDescent="0.25">
      <c r="A676" s="11">
        <v>0.8</v>
      </c>
      <c r="B676" s="11">
        <v>0.7</v>
      </c>
      <c r="C676" s="7">
        <v>0.7</v>
      </c>
      <c r="D676" s="28">
        <v>3.8119879529019003</v>
      </c>
      <c r="E676" s="28"/>
    </row>
    <row r="677" spans="1:5" x14ac:dyDescent="0.25">
      <c r="A677" s="11">
        <v>0.8</v>
      </c>
      <c r="B677" s="11">
        <v>0.7</v>
      </c>
      <c r="C677" s="7">
        <v>0.8</v>
      </c>
      <c r="D677" s="28">
        <v>3.8015671445316226</v>
      </c>
      <c r="E677" s="28"/>
    </row>
    <row r="678" spans="1:5" x14ac:dyDescent="0.25">
      <c r="A678" s="11">
        <v>0.8</v>
      </c>
      <c r="B678" s="11">
        <v>0.7</v>
      </c>
      <c r="C678" s="7">
        <v>0.9</v>
      </c>
      <c r="D678" s="28">
        <v>3.7911603034402401</v>
      </c>
      <c r="E678" s="28"/>
    </row>
    <row r="679" spans="1:5" x14ac:dyDescent="0.25">
      <c r="A679" s="11">
        <v>0.8</v>
      </c>
      <c r="B679" s="11">
        <v>0.8</v>
      </c>
      <c r="C679" s="7">
        <v>0.1</v>
      </c>
      <c r="D679" s="28">
        <v>4.0320069645909085</v>
      </c>
      <c r="E679" s="28"/>
    </row>
    <row r="680" spans="1:5" x14ac:dyDescent="0.25">
      <c r="A680" s="11">
        <v>0.8</v>
      </c>
      <c r="B680" s="11">
        <v>0.8</v>
      </c>
      <c r="C680" s="7">
        <v>0.2</v>
      </c>
      <c r="D680" s="28">
        <v>4.0205899741646656</v>
      </c>
      <c r="E680" s="28"/>
    </row>
    <row r="681" spans="1:5" x14ac:dyDescent="0.25">
      <c r="A681" s="11">
        <v>0.8</v>
      </c>
      <c r="B681" s="11">
        <v>0.8</v>
      </c>
      <c r="C681" s="7">
        <v>0.3</v>
      </c>
      <c r="D681" s="28">
        <v>4.0091883790284895</v>
      </c>
      <c r="E681" s="28"/>
    </row>
    <row r="682" spans="1:5" x14ac:dyDescent="0.25">
      <c r="A682" s="11">
        <v>0.8</v>
      </c>
      <c r="B682" s="11">
        <v>0.8</v>
      </c>
      <c r="C682" s="7">
        <v>0.4</v>
      </c>
      <c r="D682" s="28">
        <v>3.9978021616198189</v>
      </c>
      <c r="E682" s="28"/>
    </row>
    <row r="683" spans="1:5" x14ac:dyDescent="0.25">
      <c r="A683" s="11">
        <v>0.8</v>
      </c>
      <c r="B683" s="11">
        <v>0.8</v>
      </c>
      <c r="C683" s="7">
        <v>0.5</v>
      </c>
      <c r="D683" s="28">
        <v>3.9864313044028137</v>
      </c>
      <c r="E683" s="28"/>
    </row>
    <row r="684" spans="1:5" x14ac:dyDescent="0.25">
      <c r="A684" s="11">
        <v>0.8</v>
      </c>
      <c r="B684" s="11">
        <v>0.8</v>
      </c>
      <c r="C684" s="7">
        <v>0.6</v>
      </c>
      <c r="D684" s="28">
        <v>3.975075789868272</v>
      </c>
      <c r="E684" s="28"/>
    </row>
    <row r="685" spans="1:5" x14ac:dyDescent="0.25">
      <c r="A685" s="11">
        <v>0.8</v>
      </c>
      <c r="B685" s="11">
        <v>0.8</v>
      </c>
      <c r="C685" s="7">
        <v>0.7</v>
      </c>
      <c r="D685" s="28">
        <v>3.9637356005336075</v>
      </c>
      <c r="E685" s="28"/>
    </row>
    <row r="686" spans="1:5" x14ac:dyDescent="0.25">
      <c r="A686" s="11">
        <v>0.8</v>
      </c>
      <c r="B686" s="11">
        <v>0.8</v>
      </c>
      <c r="C686" s="7">
        <v>0.8</v>
      </c>
      <c r="D686" s="28">
        <v>3.9524107189427595</v>
      </c>
      <c r="E686" s="28"/>
    </row>
    <row r="687" spans="1:5" x14ac:dyDescent="0.25">
      <c r="A687" s="11">
        <v>0.8</v>
      </c>
      <c r="B687" s="11">
        <v>0.8</v>
      </c>
      <c r="C687" s="7">
        <v>0.9</v>
      </c>
      <c r="D687" s="28">
        <v>3.9411011276661942</v>
      </c>
      <c r="E687" s="28"/>
    </row>
    <row r="688" spans="1:5" x14ac:dyDescent="0.25">
      <c r="A688" s="11">
        <v>0.8</v>
      </c>
      <c r="B688" s="11">
        <v>0.9</v>
      </c>
      <c r="C688" s="7">
        <v>0.1</v>
      </c>
      <c r="D688" s="28">
        <v>4.209803083733842</v>
      </c>
      <c r="E688" s="28"/>
    </row>
    <row r="689" spans="1:5" x14ac:dyDescent="0.25">
      <c r="A689" s="11">
        <v>0.8</v>
      </c>
      <c r="B689" s="11">
        <v>0.9</v>
      </c>
      <c r="C689" s="7">
        <v>0.2</v>
      </c>
      <c r="D689" s="28">
        <v>4.197475811748677</v>
      </c>
      <c r="E689" s="28"/>
    </row>
    <row r="690" spans="1:5" x14ac:dyDescent="0.25">
      <c r="A690" s="11">
        <v>0.8</v>
      </c>
      <c r="B690" s="11">
        <v>0.9</v>
      </c>
      <c r="C690" s="7">
        <v>0.3</v>
      </c>
      <c r="D690" s="28">
        <v>4.1851653229396923</v>
      </c>
      <c r="E690" s="28"/>
    </row>
    <row r="691" spans="1:5" x14ac:dyDescent="0.25">
      <c r="A691" s="11">
        <v>0.8</v>
      </c>
      <c r="B691" s="11">
        <v>0.9</v>
      </c>
      <c r="C691" s="7">
        <v>0.4</v>
      </c>
      <c r="D691" s="28">
        <v>4.1728715981610573</v>
      </c>
      <c r="E691" s="28"/>
    </row>
    <row r="692" spans="1:5" x14ac:dyDescent="0.25">
      <c r="A692" s="11">
        <v>0.8</v>
      </c>
      <c r="B692" s="11">
        <v>0.9</v>
      </c>
      <c r="C692" s="7">
        <v>0.5</v>
      </c>
      <c r="D692" s="28">
        <v>4.1605946182960745</v>
      </c>
      <c r="E692" s="28"/>
    </row>
    <row r="693" spans="1:5" x14ac:dyDescent="0.25">
      <c r="A693" s="11">
        <v>0.8</v>
      </c>
      <c r="B693" s="11">
        <v>0.9</v>
      </c>
      <c r="C693" s="7">
        <v>0.6</v>
      </c>
      <c r="D693" s="28">
        <v>4.1483343642570896</v>
      </c>
      <c r="E693" s="28"/>
    </row>
    <row r="694" spans="1:5" x14ac:dyDescent="0.25">
      <c r="A694" s="11">
        <v>0.8</v>
      </c>
      <c r="B694" s="11">
        <v>0.9</v>
      </c>
      <c r="C694" s="7">
        <v>0.7</v>
      </c>
      <c r="D694" s="28">
        <v>4.1360908169854556</v>
      </c>
      <c r="E694" s="28"/>
    </row>
    <row r="695" spans="1:5" x14ac:dyDescent="0.25">
      <c r="A695" s="11">
        <v>0.8</v>
      </c>
      <c r="B695" s="11">
        <v>0.9</v>
      </c>
      <c r="C695" s="7">
        <v>0.8</v>
      </c>
      <c r="D695" s="28">
        <v>4.1238639574514471</v>
      </c>
      <c r="E695" s="28"/>
    </row>
    <row r="696" spans="1:5" ht="15.75" thickBot="1" x14ac:dyDescent="0.3">
      <c r="A696" s="11">
        <v>0.8</v>
      </c>
      <c r="B696" s="27">
        <v>0.9</v>
      </c>
      <c r="C696" s="9">
        <v>0.9</v>
      </c>
      <c r="D696" s="28">
        <v>4.1116537666542712</v>
      </c>
      <c r="E696" s="28"/>
    </row>
    <row r="697" spans="1:5" x14ac:dyDescent="0.25">
      <c r="A697" s="11">
        <v>0.9</v>
      </c>
      <c r="B697" s="11">
        <v>0.1</v>
      </c>
      <c r="C697" s="7">
        <v>0.1</v>
      </c>
      <c r="D697" s="28">
        <v>3.4560545178882363</v>
      </c>
      <c r="E697" s="28"/>
    </row>
    <row r="698" spans="1:5" x14ac:dyDescent="0.25">
      <c r="A698" s="11">
        <v>0.9</v>
      </c>
      <c r="B698" s="11">
        <v>0.1</v>
      </c>
      <c r="C698" s="7">
        <v>0.2</v>
      </c>
      <c r="D698" s="28">
        <v>3.4529110927092845</v>
      </c>
      <c r="E698" s="28"/>
    </row>
    <row r="699" spans="1:5" x14ac:dyDescent="0.25">
      <c r="A699" s="11">
        <v>0.9</v>
      </c>
      <c r="B699" s="11">
        <v>0.1</v>
      </c>
      <c r="C699" s="7">
        <v>0.3</v>
      </c>
      <c r="D699" s="28">
        <v>3.4497698231947256</v>
      </c>
      <c r="E699" s="28"/>
    </row>
    <row r="700" spans="1:5" x14ac:dyDescent="0.25">
      <c r="A700" s="11">
        <v>0.9</v>
      </c>
      <c r="B700" s="11">
        <v>0.1</v>
      </c>
      <c r="C700" s="7">
        <v>0.4</v>
      </c>
      <c r="D700" s="28">
        <v>3.4466307081163876</v>
      </c>
      <c r="E700" s="28"/>
    </row>
    <row r="701" spans="1:5" x14ac:dyDescent="0.25">
      <c r="A701" s="11">
        <v>0.9</v>
      </c>
      <c r="B701" s="11">
        <v>0.1</v>
      </c>
      <c r="C701" s="7">
        <v>0.5</v>
      </c>
      <c r="D701" s="28">
        <v>3.4434937462470518</v>
      </c>
      <c r="E701" s="28"/>
    </row>
    <row r="702" spans="1:5" x14ac:dyDescent="0.25">
      <c r="A702" s="11">
        <v>0.9</v>
      </c>
      <c r="B702" s="11">
        <v>0.1</v>
      </c>
      <c r="C702" s="7">
        <v>0.6</v>
      </c>
      <c r="D702" s="28">
        <v>3.4403589363604152</v>
      </c>
      <c r="E702" s="28"/>
    </row>
    <row r="703" spans="1:5" x14ac:dyDescent="0.25">
      <c r="A703" s="11">
        <v>0.9</v>
      </c>
      <c r="B703" s="11">
        <v>0.1</v>
      </c>
      <c r="C703" s="7">
        <v>0.7</v>
      </c>
      <c r="D703" s="28">
        <v>3.4372262772311086</v>
      </c>
      <c r="E703" s="28"/>
    </row>
    <row r="704" spans="1:5" x14ac:dyDescent="0.25">
      <c r="A704" s="11">
        <v>0.9</v>
      </c>
      <c r="B704" s="11">
        <v>0.1</v>
      </c>
      <c r="C704" s="7">
        <v>0.8</v>
      </c>
      <c r="D704" s="28">
        <v>3.434095767634699</v>
      </c>
      <c r="E704" s="28"/>
    </row>
    <row r="705" spans="1:5" x14ac:dyDescent="0.25">
      <c r="A705" s="11">
        <v>0.9</v>
      </c>
      <c r="B705" s="11">
        <v>0.1</v>
      </c>
      <c r="C705" s="7">
        <v>0.9</v>
      </c>
      <c r="D705" s="28">
        <v>3.4309674063476816</v>
      </c>
      <c r="E705" s="28"/>
    </row>
    <row r="706" spans="1:5" x14ac:dyDescent="0.25">
      <c r="A706" s="11">
        <v>0.9</v>
      </c>
      <c r="B706" s="11">
        <v>0.2</v>
      </c>
      <c r="C706" s="7">
        <v>0.1</v>
      </c>
      <c r="D706" s="28">
        <v>3.60951753782322</v>
      </c>
      <c r="E706" s="28"/>
    </row>
    <row r="707" spans="1:5" x14ac:dyDescent="0.25">
      <c r="A707" s="11">
        <v>0.9</v>
      </c>
      <c r="B707" s="11">
        <v>0.2</v>
      </c>
      <c r="C707" s="7">
        <v>0.2</v>
      </c>
      <c r="D707" s="28">
        <v>3.6058601550023828</v>
      </c>
      <c r="E707" s="28"/>
    </row>
    <row r="708" spans="1:5" x14ac:dyDescent="0.25">
      <c r="A708" s="11">
        <v>0.9</v>
      </c>
      <c r="B708" s="11">
        <v>0.2</v>
      </c>
      <c r="C708" s="7">
        <v>0.3</v>
      </c>
      <c r="D708" s="28">
        <v>3.6022052309623094</v>
      </c>
      <c r="E708" s="28"/>
    </row>
    <row r="709" spans="1:5" x14ac:dyDescent="0.25">
      <c r="A709" s="11">
        <v>0.9</v>
      </c>
      <c r="B709" s="11">
        <v>0.2</v>
      </c>
      <c r="C709" s="7">
        <v>0.4</v>
      </c>
      <c r="D709" s="28">
        <v>3.5985527643021324</v>
      </c>
      <c r="E709" s="28"/>
    </row>
    <row r="710" spans="1:5" x14ac:dyDescent="0.25">
      <c r="A710" s="11">
        <v>0.9</v>
      </c>
      <c r="B710" s="11">
        <v>0.2</v>
      </c>
      <c r="C710" s="7">
        <v>0.5</v>
      </c>
      <c r="D710" s="28">
        <v>3.5949027536220588</v>
      </c>
      <c r="E710" s="28"/>
    </row>
    <row r="711" spans="1:5" x14ac:dyDescent="0.25">
      <c r="A711" s="11">
        <v>0.9</v>
      </c>
      <c r="B711" s="11">
        <v>0.2</v>
      </c>
      <c r="C711" s="7">
        <v>0.6</v>
      </c>
      <c r="D711" s="28">
        <v>3.591255197523354</v>
      </c>
      <c r="E711" s="28"/>
    </row>
    <row r="712" spans="1:5" x14ac:dyDescent="0.25">
      <c r="A712" s="11">
        <v>0.9</v>
      </c>
      <c r="B712" s="11">
        <v>0.2</v>
      </c>
      <c r="C712" s="7">
        <v>0.7</v>
      </c>
      <c r="D712" s="28">
        <v>3.5876100946083587</v>
      </c>
      <c r="E712" s="28"/>
    </row>
    <row r="713" spans="1:5" x14ac:dyDescent="0.25">
      <c r="A713" s="11">
        <v>0.9</v>
      </c>
      <c r="B713" s="11">
        <v>0.2</v>
      </c>
      <c r="C713" s="7">
        <v>0.8</v>
      </c>
      <c r="D713" s="28">
        <v>3.5839674434804492</v>
      </c>
      <c r="E713" s="28"/>
    </row>
    <row r="714" spans="1:5" x14ac:dyDescent="0.25">
      <c r="A714" s="11">
        <v>0.9</v>
      </c>
      <c r="B714" s="11">
        <v>0.2</v>
      </c>
      <c r="C714" s="7">
        <v>0.9</v>
      </c>
      <c r="D714" s="28">
        <v>3.5803272427440773</v>
      </c>
      <c r="E714" s="28"/>
    </row>
    <row r="715" spans="1:5" x14ac:dyDescent="0.25">
      <c r="A715" s="11">
        <v>0.9</v>
      </c>
      <c r="B715" s="11">
        <v>0.3</v>
      </c>
      <c r="C715" s="7">
        <v>0.1</v>
      </c>
      <c r="D715" s="28">
        <v>3.7441153841127757</v>
      </c>
      <c r="E715" s="28"/>
    </row>
    <row r="716" spans="1:5" x14ac:dyDescent="0.25">
      <c r="A716" s="11">
        <v>0.9</v>
      </c>
      <c r="B716" s="11">
        <v>0.3</v>
      </c>
      <c r="C716" s="7">
        <v>0.2</v>
      </c>
      <c r="D716" s="28">
        <v>3.7399449108917029</v>
      </c>
      <c r="E716" s="28"/>
    </row>
    <row r="717" spans="1:5" x14ac:dyDescent="0.25">
      <c r="A717" s="11">
        <v>0.9</v>
      </c>
      <c r="B717" s="11">
        <v>0.3</v>
      </c>
      <c r="C717" s="7">
        <v>0.3</v>
      </c>
      <c r="D717" s="28">
        <v>3.7357772173850403</v>
      </c>
      <c r="E717" s="28"/>
    </row>
    <row r="718" spans="1:5" x14ac:dyDescent="0.25">
      <c r="A718" s="11">
        <v>0.9</v>
      </c>
      <c r="B718" s="11">
        <v>0.3</v>
      </c>
      <c r="C718" s="7">
        <v>0.4</v>
      </c>
      <c r="D718" s="28">
        <v>3.7316123020090752</v>
      </c>
      <c r="E718" s="28"/>
    </row>
    <row r="719" spans="1:5" x14ac:dyDescent="0.25">
      <c r="A719" s="11">
        <v>0.9</v>
      </c>
      <c r="B719" s="11">
        <v>0.3</v>
      </c>
      <c r="C719" s="7">
        <v>0.5</v>
      </c>
      <c r="D719" s="28">
        <v>3.7274501631813051</v>
      </c>
      <c r="E719" s="28"/>
    </row>
    <row r="720" spans="1:5" x14ac:dyDescent="0.25">
      <c r="A720" s="11">
        <v>0.9</v>
      </c>
      <c r="B720" s="11">
        <v>0.3</v>
      </c>
      <c r="C720" s="7">
        <v>0.6</v>
      </c>
      <c r="D720" s="28">
        <v>3.7232907993204338</v>
      </c>
      <c r="E720" s="28"/>
    </row>
    <row r="721" spans="1:5" x14ac:dyDescent="0.25">
      <c r="A721" s="11">
        <v>0.9</v>
      </c>
      <c r="B721" s="11">
        <v>0.3</v>
      </c>
      <c r="C721" s="7">
        <v>0.7</v>
      </c>
      <c r="D721" s="28">
        <v>3.7191342088463544</v>
      </c>
      <c r="E721" s="28"/>
    </row>
    <row r="722" spans="1:5" x14ac:dyDescent="0.25">
      <c r="A722" s="11">
        <v>0.9</v>
      </c>
      <c r="B722" s="11">
        <v>0.3</v>
      </c>
      <c r="C722" s="7">
        <v>0.8</v>
      </c>
      <c r="D722" s="28">
        <v>3.7149803901801577</v>
      </c>
      <c r="E722" s="28"/>
    </row>
    <row r="723" spans="1:5" x14ac:dyDescent="0.25">
      <c r="A723" s="11">
        <v>0.9</v>
      </c>
      <c r="B723" s="11">
        <v>0.3</v>
      </c>
      <c r="C723" s="7">
        <v>0.9</v>
      </c>
      <c r="D723" s="28">
        <v>3.710829341744152</v>
      </c>
      <c r="E723" s="28"/>
    </row>
    <row r="724" spans="1:5" x14ac:dyDescent="0.25">
      <c r="A724" s="11">
        <v>0.9</v>
      </c>
      <c r="B724" s="11">
        <v>0.4</v>
      </c>
      <c r="C724" s="7">
        <v>0.1</v>
      </c>
      <c r="D724" s="28">
        <v>3.8843831665086466</v>
      </c>
      <c r="E724" s="28"/>
    </row>
    <row r="725" spans="1:5" x14ac:dyDescent="0.25">
      <c r="A725" s="11">
        <v>0.9</v>
      </c>
      <c r="B725" s="11">
        <v>0.4</v>
      </c>
      <c r="C725" s="7">
        <v>0.2</v>
      </c>
      <c r="D725" s="28">
        <v>3.8797002646539869</v>
      </c>
      <c r="E725" s="28"/>
    </row>
    <row r="726" spans="1:5" x14ac:dyDescent="0.25">
      <c r="A726" s="11">
        <v>0.9</v>
      </c>
      <c r="B726" s="11">
        <v>0.4</v>
      </c>
      <c r="C726" s="7">
        <v>0.3</v>
      </c>
      <c r="D726" s="28">
        <v>3.8750204812553464</v>
      </c>
      <c r="E726" s="28"/>
    </row>
    <row r="727" spans="1:5" x14ac:dyDescent="0.25">
      <c r="A727" s="11">
        <v>0.9</v>
      </c>
      <c r="B727" s="11">
        <v>0.4</v>
      </c>
      <c r="C727" s="7">
        <v>0.4</v>
      </c>
      <c r="D727" s="28">
        <v>3.870343814536001</v>
      </c>
      <c r="E727" s="28"/>
    </row>
    <row r="728" spans="1:5" x14ac:dyDescent="0.25">
      <c r="A728" s="11">
        <v>0.9</v>
      </c>
      <c r="B728" s="11">
        <v>0.4</v>
      </c>
      <c r="C728" s="7">
        <v>0.5</v>
      </c>
      <c r="D728" s="28">
        <v>3.8656702627206196</v>
      </c>
      <c r="E728" s="28"/>
    </row>
    <row r="729" spans="1:5" x14ac:dyDescent="0.25">
      <c r="A729" s="11">
        <v>0.9</v>
      </c>
      <c r="B729" s="11">
        <v>0.4</v>
      </c>
      <c r="C729" s="7">
        <v>0.6</v>
      </c>
      <c r="D729" s="28">
        <v>3.8609998240351886</v>
      </c>
      <c r="E729" s="28"/>
    </row>
    <row r="730" spans="1:5" x14ac:dyDescent="0.25">
      <c r="A730" s="11">
        <v>0.9</v>
      </c>
      <c r="B730" s="11">
        <v>0.4</v>
      </c>
      <c r="C730" s="7">
        <v>0.7</v>
      </c>
      <c r="D730" s="28">
        <v>3.8563324967070596</v>
      </c>
      <c r="E730" s="28"/>
    </row>
    <row r="731" spans="1:5" x14ac:dyDescent="0.25">
      <c r="A731" s="11">
        <v>0.9</v>
      </c>
      <c r="B731" s="11">
        <v>0.4</v>
      </c>
      <c r="C731" s="7">
        <v>0.8</v>
      </c>
      <c r="D731" s="28">
        <v>3.8516682789649082</v>
      </c>
      <c r="E731" s="28"/>
    </row>
    <row r="732" spans="1:5" x14ac:dyDescent="0.25">
      <c r="A732" s="11">
        <v>0.9</v>
      </c>
      <c r="B732" s="11">
        <v>0.4</v>
      </c>
      <c r="C732" s="7">
        <v>0.9</v>
      </c>
      <c r="D732" s="28">
        <v>3.8470071690387808</v>
      </c>
      <c r="E732" s="28"/>
    </row>
    <row r="733" spans="1:5" x14ac:dyDescent="0.25">
      <c r="A733" s="11">
        <v>0.9</v>
      </c>
      <c r="B733" s="11">
        <v>0.5</v>
      </c>
      <c r="C733" s="7">
        <v>0.1</v>
      </c>
      <c r="D733" s="28">
        <v>4.0423692680765839</v>
      </c>
      <c r="E733" s="28"/>
    </row>
    <row r="734" spans="1:5" x14ac:dyDescent="0.25">
      <c r="A734" s="11">
        <v>0.9</v>
      </c>
      <c r="B734" s="11">
        <v>0.5</v>
      </c>
      <c r="C734" s="7">
        <v>0.2</v>
      </c>
      <c r="D734" s="28">
        <v>4.0371746088090052</v>
      </c>
      <c r="E734" s="28"/>
    </row>
    <row r="735" spans="1:5" x14ac:dyDescent="0.25">
      <c r="A735" s="11">
        <v>0.9</v>
      </c>
      <c r="B735" s="11">
        <v>0.5</v>
      </c>
      <c r="C735" s="7">
        <v>0.3</v>
      </c>
      <c r="D735" s="28">
        <v>4.0319834245376649</v>
      </c>
      <c r="E735" s="28"/>
    </row>
    <row r="736" spans="1:5" x14ac:dyDescent="0.25">
      <c r="A736" s="11">
        <v>0.9</v>
      </c>
      <c r="B736" s="11">
        <v>0.5</v>
      </c>
      <c r="C736" s="7">
        <v>0.4</v>
      </c>
      <c r="D736" s="28">
        <v>4.0267957132827181</v>
      </c>
      <c r="E736" s="28"/>
    </row>
    <row r="737" spans="1:5" x14ac:dyDescent="0.25">
      <c r="A737" s="11">
        <v>0.9</v>
      </c>
      <c r="B737" s="11">
        <v>0.5</v>
      </c>
      <c r="C737" s="7">
        <v>0.5</v>
      </c>
      <c r="D737" s="28">
        <v>4.021611473065847</v>
      </c>
      <c r="E737" s="28"/>
    </row>
    <row r="738" spans="1:5" x14ac:dyDescent="0.25">
      <c r="A738" s="11">
        <v>0.9</v>
      </c>
      <c r="B738" s="11">
        <v>0.5</v>
      </c>
      <c r="C738" s="7">
        <v>0.6</v>
      </c>
      <c r="D738" s="28">
        <v>4.0164307019102106</v>
      </c>
      <c r="E738" s="28"/>
    </row>
    <row r="739" spans="1:5" x14ac:dyDescent="0.25">
      <c r="A739" s="11">
        <v>0.9</v>
      </c>
      <c r="B739" s="11">
        <v>0.5</v>
      </c>
      <c r="C739" s="7">
        <v>0.7</v>
      </c>
      <c r="D739" s="28">
        <v>4.0112533978404921</v>
      </c>
      <c r="E739" s="28"/>
    </row>
    <row r="740" spans="1:5" x14ac:dyDescent="0.25">
      <c r="A740" s="11">
        <v>0.9</v>
      </c>
      <c r="B740" s="11">
        <v>0.5</v>
      </c>
      <c r="C740" s="7">
        <v>0.8</v>
      </c>
      <c r="D740" s="28">
        <v>4.0060795588828455</v>
      </c>
      <c r="E740" s="28"/>
    </row>
    <row r="741" spans="1:5" x14ac:dyDescent="0.25">
      <c r="A741" s="11">
        <v>0.9</v>
      </c>
      <c r="B741" s="11">
        <v>0.5</v>
      </c>
      <c r="C741" s="7">
        <v>0.9</v>
      </c>
      <c r="D741" s="28">
        <v>4.0009091830649588</v>
      </c>
      <c r="E741" s="28"/>
    </row>
    <row r="742" spans="1:5" x14ac:dyDescent="0.25">
      <c r="A742" s="11">
        <v>0.9</v>
      </c>
      <c r="B742" s="11">
        <v>0.6</v>
      </c>
      <c r="C742" s="7">
        <v>0.1</v>
      </c>
      <c r="D742" s="28">
        <v>4.2237690682430218</v>
      </c>
      <c r="E742" s="28"/>
    </row>
    <row r="743" spans="1:5" x14ac:dyDescent="0.25">
      <c r="A743" s="11">
        <v>0.9</v>
      </c>
      <c r="B743" s="11">
        <v>0.6</v>
      </c>
      <c r="C743" s="7">
        <v>0.2</v>
      </c>
      <c r="D743" s="28">
        <v>4.2180635995562428</v>
      </c>
      <c r="E743" s="28"/>
    </row>
    <row r="744" spans="1:5" x14ac:dyDescent="0.25">
      <c r="A744" s="11">
        <v>0.9</v>
      </c>
      <c r="B744" s="11">
        <v>0.6</v>
      </c>
      <c r="C744" s="7">
        <v>0.3</v>
      </c>
      <c r="D744" s="28">
        <v>4.212361980195241</v>
      </c>
      <c r="E744" s="28"/>
    </row>
    <row r="745" spans="1:5" x14ac:dyDescent="0.25">
      <c r="A745" s="11">
        <v>0.9</v>
      </c>
      <c r="B745" s="11">
        <v>0.6</v>
      </c>
      <c r="C745" s="7">
        <v>0.4</v>
      </c>
      <c r="D745" s="28">
        <v>4.2066642079668899</v>
      </c>
      <c r="E745" s="28"/>
    </row>
    <row r="746" spans="1:5" x14ac:dyDescent="0.25">
      <c r="A746" s="11">
        <v>0.9</v>
      </c>
      <c r="B746" s="11">
        <v>0.6</v>
      </c>
      <c r="C746" s="7">
        <v>0.5</v>
      </c>
      <c r="D746" s="28">
        <v>4.2009702806797717</v>
      </c>
      <c r="E746" s="28"/>
    </row>
    <row r="747" spans="1:5" x14ac:dyDescent="0.25">
      <c r="A747" s="11">
        <v>0.9</v>
      </c>
      <c r="B747" s="11">
        <v>0.6</v>
      </c>
      <c r="C747" s="7">
        <v>0.6</v>
      </c>
      <c r="D747" s="28">
        <v>4.1952801961441075</v>
      </c>
      <c r="E747" s="28"/>
    </row>
    <row r="748" spans="1:5" x14ac:dyDescent="0.25">
      <c r="A748" s="11">
        <v>0.9</v>
      </c>
      <c r="B748" s="11">
        <v>0.6</v>
      </c>
      <c r="C748" s="7">
        <v>0.7</v>
      </c>
      <c r="D748" s="28">
        <v>4.1895939521717844</v>
      </c>
      <c r="E748" s="28"/>
    </row>
    <row r="749" spans="1:5" x14ac:dyDescent="0.25">
      <c r="A749" s="11">
        <v>0.9</v>
      </c>
      <c r="B749" s="11">
        <v>0.6</v>
      </c>
      <c r="C749" s="7">
        <v>0.8</v>
      </c>
      <c r="D749" s="28">
        <v>4.1839115465763435</v>
      </c>
      <c r="E749" s="28"/>
    </row>
    <row r="750" spans="1:5" x14ac:dyDescent="0.25">
      <c r="A750" s="11">
        <v>0.9</v>
      </c>
      <c r="B750" s="11">
        <v>0.6</v>
      </c>
      <c r="C750" s="7">
        <v>0.9</v>
      </c>
      <c r="D750" s="28">
        <v>4.1782329771730016</v>
      </c>
      <c r="E750" s="28"/>
    </row>
    <row r="751" spans="1:5" x14ac:dyDescent="0.25">
      <c r="A751" s="11">
        <v>0.9</v>
      </c>
      <c r="B751" s="11">
        <v>0.7</v>
      </c>
      <c r="C751" s="7">
        <v>0.1</v>
      </c>
      <c r="D751" s="28">
        <v>4.4311879318259226</v>
      </c>
      <c r="E751" s="28"/>
    </row>
    <row r="752" spans="1:5" x14ac:dyDescent="0.25">
      <c r="A752" s="11">
        <v>0.9</v>
      </c>
      <c r="B752" s="11">
        <v>0.7</v>
      </c>
      <c r="C752" s="7">
        <v>0.2</v>
      </c>
      <c r="D752" s="28">
        <v>4.4249731488374513</v>
      </c>
      <c r="E752" s="28"/>
    </row>
    <row r="753" spans="1:5" x14ac:dyDescent="0.25">
      <c r="A753" s="11">
        <v>0.9</v>
      </c>
      <c r="B753" s="11">
        <v>0.7</v>
      </c>
      <c r="C753" s="7">
        <v>0.3</v>
      </c>
      <c r="D753" s="28">
        <v>4.4187626072842878</v>
      </c>
      <c r="E753" s="28"/>
    </row>
    <row r="754" spans="1:5" x14ac:dyDescent="0.25">
      <c r="A754" s="11">
        <v>0.9</v>
      </c>
      <c r="B754" s="11">
        <v>0.7</v>
      </c>
      <c r="C754" s="7">
        <v>0.4</v>
      </c>
      <c r="D754" s="28">
        <v>4.4125563047499137</v>
      </c>
      <c r="E754" s="28"/>
    </row>
    <row r="755" spans="1:5" x14ac:dyDescent="0.25">
      <c r="A755" s="11">
        <v>0.9</v>
      </c>
      <c r="B755" s="11">
        <v>0.7</v>
      </c>
      <c r="C755" s="7">
        <v>0.5</v>
      </c>
      <c r="D755" s="28">
        <v>4.4063542388196772</v>
      </c>
      <c r="E755" s="28"/>
    </row>
    <row r="756" spans="1:5" x14ac:dyDescent="0.25">
      <c r="A756" s="11">
        <v>0.9</v>
      </c>
      <c r="B756" s="11">
        <v>0.7</v>
      </c>
      <c r="C756" s="7">
        <v>0.6</v>
      </c>
      <c r="D756" s="28">
        <v>4.4001564070807326</v>
      </c>
      <c r="E756" s="28"/>
    </row>
    <row r="757" spans="1:5" x14ac:dyDescent="0.25">
      <c r="A757" s="11">
        <v>0.9</v>
      </c>
      <c r="B757" s="11">
        <v>0.7</v>
      </c>
      <c r="C757" s="7">
        <v>0.7</v>
      </c>
      <c r="D757" s="28">
        <v>4.3939628071220849</v>
      </c>
      <c r="E757" s="28"/>
    </row>
    <row r="758" spans="1:5" x14ac:dyDescent="0.25">
      <c r="A758" s="11">
        <v>0.9</v>
      </c>
      <c r="B758" s="11">
        <v>0.7</v>
      </c>
      <c r="C758" s="7">
        <v>0.8</v>
      </c>
      <c r="D758" s="28">
        <v>4.3877734365345509</v>
      </c>
      <c r="E758" s="28"/>
    </row>
    <row r="759" spans="1:5" x14ac:dyDescent="0.25">
      <c r="A759" s="11">
        <v>0.9</v>
      </c>
      <c r="B759" s="11">
        <v>0.7</v>
      </c>
      <c r="C759" s="7">
        <v>0.9</v>
      </c>
      <c r="D759" s="28">
        <v>4.3815882929107923</v>
      </c>
      <c r="E759" s="28"/>
    </row>
    <row r="760" spans="1:5" x14ac:dyDescent="0.25">
      <c r="A760" s="11">
        <v>0.9</v>
      </c>
      <c r="B760" s="11">
        <v>0.8</v>
      </c>
      <c r="C760" s="7">
        <v>0.1</v>
      </c>
      <c r="D760" s="28">
        <v>4.6659116416973569</v>
      </c>
      <c r="E760" s="28"/>
    </row>
    <row r="761" spans="1:5" x14ac:dyDescent="0.25">
      <c r="A761" s="11">
        <v>0.9</v>
      </c>
      <c r="B761" s="11">
        <v>0.8</v>
      </c>
      <c r="C761" s="7">
        <v>0.2</v>
      </c>
      <c r="D761" s="28">
        <v>4.6591898423400586</v>
      </c>
      <c r="E761" s="28"/>
    </row>
    <row r="762" spans="1:5" x14ac:dyDescent="0.25">
      <c r="A762" s="11">
        <v>0.9</v>
      </c>
      <c r="B762" s="11">
        <v>0.8</v>
      </c>
      <c r="C762" s="7">
        <v>0.3</v>
      </c>
      <c r="D762" s="28">
        <v>4.6524726942982975</v>
      </c>
      <c r="E762" s="28"/>
    </row>
    <row r="763" spans="1:5" x14ac:dyDescent="0.25">
      <c r="A763" s="11">
        <v>0.9</v>
      </c>
      <c r="B763" s="11">
        <v>0.8</v>
      </c>
      <c r="C763" s="7">
        <v>0.4</v>
      </c>
      <c r="D763" s="28">
        <v>4.6457601949220226</v>
      </c>
      <c r="E763" s="28"/>
    </row>
    <row r="764" spans="1:5" x14ac:dyDescent="0.25">
      <c r="A764" s="11">
        <v>0.9</v>
      </c>
      <c r="B764" s="11">
        <v>0.8</v>
      </c>
      <c r="C764" s="7">
        <v>0.5</v>
      </c>
      <c r="D764" s="28">
        <v>4.6390523415632376</v>
      </c>
      <c r="E764" s="28"/>
    </row>
    <row r="765" spans="1:5" x14ac:dyDescent="0.25">
      <c r="A765" s="11">
        <v>0.9</v>
      </c>
      <c r="B765" s="11">
        <v>0.8</v>
      </c>
      <c r="C765" s="7">
        <v>0.6</v>
      </c>
      <c r="D765" s="28">
        <v>4.6323491315759355</v>
      </c>
      <c r="E765" s="28"/>
    </row>
    <row r="766" spans="1:5" x14ac:dyDescent="0.25">
      <c r="A766" s="11">
        <v>0.9</v>
      </c>
      <c r="B766" s="11">
        <v>0.8</v>
      </c>
      <c r="C766" s="7">
        <v>0.7</v>
      </c>
      <c r="D766" s="28">
        <v>4.6256505623161219</v>
      </c>
      <c r="E766" s="28"/>
    </row>
    <row r="767" spans="1:5" x14ac:dyDescent="0.25">
      <c r="A767" s="11">
        <v>0.9</v>
      </c>
      <c r="B767" s="11">
        <v>0.8</v>
      </c>
      <c r="C767" s="7">
        <v>0.8</v>
      </c>
      <c r="D767" s="28">
        <v>4.6189566311417956</v>
      </c>
      <c r="E767" s="28"/>
    </row>
    <row r="768" spans="1:5" x14ac:dyDescent="0.25">
      <c r="A768" s="11">
        <v>0.9</v>
      </c>
      <c r="B768" s="11">
        <v>0.8</v>
      </c>
      <c r="C768" s="7">
        <v>0.9</v>
      </c>
      <c r="D768" s="28">
        <v>4.6122673354129837</v>
      </c>
      <c r="E768" s="28"/>
    </row>
    <row r="769" spans="1:5" x14ac:dyDescent="0.25">
      <c r="A769" s="11">
        <v>0.9</v>
      </c>
      <c r="B769" s="11">
        <v>0.9</v>
      </c>
      <c r="C769" s="7">
        <v>0.1</v>
      </c>
      <c r="D769" s="28">
        <v>4.9289776059376411</v>
      </c>
      <c r="E769" s="28"/>
    </row>
    <row r="770" spans="1:5" x14ac:dyDescent="0.25">
      <c r="A770" s="11">
        <v>0.9</v>
      </c>
      <c r="B770" s="11">
        <v>0.9</v>
      </c>
      <c r="C770" s="7">
        <v>0.2</v>
      </c>
      <c r="D770" s="28">
        <v>4.9217521236414914</v>
      </c>
      <c r="E770" s="28"/>
    </row>
    <row r="771" spans="1:5" x14ac:dyDescent="0.25">
      <c r="A771" s="11">
        <v>0.9</v>
      </c>
      <c r="B771" s="11">
        <v>0.9</v>
      </c>
      <c r="C771" s="7">
        <v>0.3</v>
      </c>
      <c r="D771" s="28">
        <v>4.9145317203024996</v>
      </c>
      <c r="E771" s="28"/>
    </row>
    <row r="772" spans="1:5" x14ac:dyDescent="0.25">
      <c r="A772" s="11">
        <v>0.9</v>
      </c>
      <c r="B772" s="11">
        <v>0.9</v>
      </c>
      <c r="C772" s="7">
        <v>0.4</v>
      </c>
      <c r="D772" s="28">
        <v>4.9073163930269708</v>
      </c>
      <c r="E772" s="28"/>
    </row>
    <row r="773" spans="1:5" x14ac:dyDescent="0.25">
      <c r="A773" s="11">
        <v>0.9</v>
      </c>
      <c r="B773" s="11">
        <v>0.9</v>
      </c>
      <c r="C773" s="7">
        <v>0.5</v>
      </c>
      <c r="D773" s="28">
        <v>4.9001061389234533</v>
      </c>
      <c r="E773" s="28"/>
    </row>
    <row r="774" spans="1:5" x14ac:dyDescent="0.25">
      <c r="A774" s="11">
        <v>0.9</v>
      </c>
      <c r="B774" s="11">
        <v>0.9</v>
      </c>
      <c r="C774" s="7">
        <v>0.6</v>
      </c>
      <c r="D774" s="28">
        <v>4.8929009551026557</v>
      </c>
      <c r="E774" s="28"/>
    </row>
    <row r="775" spans="1:5" x14ac:dyDescent="0.25">
      <c r="A775" s="11">
        <v>0.9</v>
      </c>
      <c r="B775" s="11">
        <v>0.9</v>
      </c>
      <c r="C775" s="7">
        <v>0.7</v>
      </c>
      <c r="D775" s="28">
        <v>4.8857008386775043</v>
      </c>
      <c r="E775" s="28"/>
    </row>
    <row r="776" spans="1:5" x14ac:dyDescent="0.25">
      <c r="A776" s="11">
        <v>0.9</v>
      </c>
      <c r="B776" s="11">
        <v>0.9</v>
      </c>
      <c r="C776" s="7">
        <v>0.8</v>
      </c>
      <c r="D776" s="28">
        <v>4.8785057867630961</v>
      </c>
      <c r="E776" s="28"/>
    </row>
    <row r="777" spans="1:5" ht="15.75" thickBot="1" x14ac:dyDescent="0.3">
      <c r="A777" s="11">
        <v>0.9</v>
      </c>
      <c r="B777" s="27">
        <v>0.9</v>
      </c>
      <c r="C777" s="9">
        <v>0.9</v>
      </c>
      <c r="D777" s="28">
        <v>4.8713157964767335</v>
      </c>
      <c r="E777" s="28"/>
    </row>
    <row r="778" spans="1:5" x14ac:dyDescent="0.25">
      <c r="A778" s="11"/>
    </row>
    <row r="779" spans="1:5" x14ac:dyDescent="0.25">
      <c r="A779" s="11"/>
    </row>
  </sheetData>
  <mergeCells count="3">
    <mergeCell ref="A44:B44"/>
    <mergeCell ref="A47:E47"/>
    <mergeCell ref="A22:J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easonality">
                <anchor moveWithCells="1" sizeWithCells="1">
                  <from>
                    <xdr:col>7</xdr:col>
                    <xdr:colOff>9525</xdr:colOff>
                    <xdr:row>18</xdr:row>
                    <xdr:rowOff>0</xdr:rowOff>
                  </from>
                  <to>
                    <xdr:col>9</xdr:col>
                    <xdr:colOff>628650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E80FE-372E-4D8B-A0AD-1A9903EAD01B}">
  <sheetPr codeName="Sheet5"/>
  <dimension ref="A1:P72"/>
  <sheetViews>
    <sheetView zoomScale="90" zoomScaleNormal="90" workbookViewId="0">
      <selection activeCell="C46" sqref="C46:H46"/>
    </sheetView>
  </sheetViews>
  <sheetFormatPr defaultColWidth="9.140625" defaultRowHeight="15" x14ac:dyDescent="0.25"/>
  <cols>
    <col min="1" max="1" width="18" style="1" bestFit="1" customWidth="1"/>
    <col min="2" max="2" width="12.7109375" style="1" bestFit="1" customWidth="1"/>
    <col min="3" max="3" width="15.42578125" style="1" bestFit="1" customWidth="1"/>
    <col min="4" max="4" width="18.42578125" style="1" bestFit="1" customWidth="1"/>
    <col min="5" max="5" width="9.140625" style="1"/>
    <col min="6" max="6" width="18.42578125" style="1" bestFit="1" customWidth="1"/>
    <col min="7" max="7" width="12" style="1" bestFit="1" customWidth="1"/>
    <col min="8" max="8" width="18.42578125" style="1" bestFit="1" customWidth="1"/>
    <col min="9" max="9" width="13.85546875" style="1" bestFit="1" customWidth="1"/>
    <col min="10" max="10" width="18.42578125" style="1" bestFit="1" customWidth="1"/>
    <col min="11" max="11" width="9.140625" style="1"/>
    <col min="12" max="12" width="18.42578125" style="1" bestFit="1" customWidth="1"/>
    <col min="13" max="13" width="9.140625" style="1"/>
    <col min="14" max="14" width="18.42578125" style="1" bestFit="1" customWidth="1"/>
    <col min="15" max="15" width="9.140625" style="1"/>
    <col min="16" max="16" width="18.42578125" style="1" bestFit="1" customWidth="1"/>
    <col min="17" max="17" width="9.140625" style="1"/>
    <col min="18" max="18" width="18.42578125" style="1" bestFit="1" customWidth="1"/>
    <col min="19" max="19" width="9.140625" style="1"/>
    <col min="20" max="20" width="18.42578125" style="1" bestFit="1" customWidth="1"/>
    <col min="21" max="21" width="9.140625" style="1"/>
    <col min="22" max="22" width="18.42578125" style="1" bestFit="1" customWidth="1"/>
    <col min="23" max="23" width="9.140625" style="1"/>
    <col min="24" max="24" width="18.42578125" style="1" bestFit="1" customWidth="1"/>
    <col min="25" max="16384" width="9.140625" style="1"/>
  </cols>
  <sheetData>
    <row r="1" spans="1:10" ht="15.75" thickBot="1" x14ac:dyDescent="0.3">
      <c r="A1" s="60" t="s">
        <v>0</v>
      </c>
      <c r="B1" s="60" t="s">
        <v>3</v>
      </c>
    </row>
    <row r="2" spans="1:10" x14ac:dyDescent="0.25">
      <c r="A2" s="5">
        <v>1</v>
      </c>
      <c r="B2" s="5">
        <v>100</v>
      </c>
      <c r="J2" s="1">
        <f>_xlfn.FORECAST.ETS.SEASONALITY(B2:B21,A2:A21)</f>
        <v>4</v>
      </c>
    </row>
    <row r="3" spans="1:10" x14ac:dyDescent="0.25">
      <c r="A3" s="5">
        <v>2</v>
      </c>
      <c r="B3" s="5">
        <v>82</v>
      </c>
    </row>
    <row r="4" spans="1:10" x14ac:dyDescent="0.25">
      <c r="A4" s="5">
        <v>3</v>
      </c>
      <c r="B4" s="5">
        <v>70</v>
      </c>
    </row>
    <row r="5" spans="1:10" x14ac:dyDescent="0.25">
      <c r="A5" s="5">
        <v>4</v>
      </c>
      <c r="B5" s="5">
        <v>55</v>
      </c>
    </row>
    <row r="6" spans="1:10" x14ac:dyDescent="0.25">
      <c r="A6" s="5">
        <v>5</v>
      </c>
      <c r="B6" s="5">
        <v>110</v>
      </c>
    </row>
    <row r="7" spans="1:10" x14ac:dyDescent="0.25">
      <c r="A7" s="5">
        <v>6</v>
      </c>
      <c r="B7" s="5">
        <v>85</v>
      </c>
    </row>
    <row r="8" spans="1:10" x14ac:dyDescent="0.25">
      <c r="A8" s="5">
        <v>7</v>
      </c>
      <c r="B8" s="5">
        <v>74</v>
      </c>
    </row>
    <row r="9" spans="1:10" x14ac:dyDescent="0.25">
      <c r="A9" s="5">
        <v>8</v>
      </c>
      <c r="B9" s="5">
        <v>62</v>
      </c>
    </row>
    <row r="10" spans="1:10" x14ac:dyDescent="0.25">
      <c r="A10" s="5">
        <v>9</v>
      </c>
      <c r="B10" s="5">
        <v>115</v>
      </c>
    </row>
    <row r="11" spans="1:10" x14ac:dyDescent="0.25">
      <c r="A11" s="5">
        <v>10</v>
      </c>
      <c r="B11" s="5">
        <v>88</v>
      </c>
    </row>
    <row r="12" spans="1:10" x14ac:dyDescent="0.25">
      <c r="A12" s="5">
        <v>11</v>
      </c>
      <c r="B12" s="5">
        <v>78</v>
      </c>
    </row>
    <row r="13" spans="1:10" x14ac:dyDescent="0.25">
      <c r="A13" s="5">
        <v>12</v>
      </c>
      <c r="B13" s="5">
        <v>67</v>
      </c>
    </row>
    <row r="14" spans="1:10" x14ac:dyDescent="0.25">
      <c r="A14" s="5">
        <v>13</v>
      </c>
      <c r="B14" s="5">
        <v>121</v>
      </c>
    </row>
    <row r="15" spans="1:10" x14ac:dyDescent="0.25">
      <c r="A15" s="5">
        <v>14</v>
      </c>
      <c r="B15" s="5">
        <v>93</v>
      </c>
    </row>
    <row r="16" spans="1:10" x14ac:dyDescent="0.25">
      <c r="A16" s="5">
        <v>15</v>
      </c>
      <c r="B16" s="5">
        <v>84</v>
      </c>
    </row>
    <row r="17" spans="1:8" x14ac:dyDescent="0.25">
      <c r="A17" s="5">
        <v>16</v>
      </c>
      <c r="B17" s="5">
        <v>71</v>
      </c>
    </row>
    <row r="18" spans="1:8" x14ac:dyDescent="0.25">
      <c r="A18" s="5">
        <v>17</v>
      </c>
      <c r="B18" s="5">
        <v>128</v>
      </c>
    </row>
    <row r="19" spans="1:8" x14ac:dyDescent="0.25">
      <c r="A19" s="5">
        <v>18</v>
      </c>
      <c r="B19" s="5">
        <v>99</v>
      </c>
    </row>
    <row r="20" spans="1:8" x14ac:dyDescent="0.25">
      <c r="A20" s="5">
        <v>19</v>
      </c>
      <c r="B20" s="5">
        <v>89</v>
      </c>
    </row>
    <row r="21" spans="1:8" ht="15.75" thickBot="1" x14ac:dyDescent="0.3">
      <c r="A21" s="6">
        <v>20</v>
      </c>
      <c r="B21" s="6">
        <v>77</v>
      </c>
    </row>
    <row r="22" spans="1:8" ht="15.75" thickBot="1" x14ac:dyDescent="0.3">
      <c r="A22" s="312" t="s">
        <v>7</v>
      </c>
      <c r="B22" s="313"/>
      <c r="C22" s="313"/>
      <c r="D22" s="313"/>
      <c r="E22" s="313"/>
      <c r="F22" s="313"/>
      <c r="G22" s="313"/>
      <c r="H22" s="314"/>
    </row>
    <row r="23" spans="1:8" ht="15.75" thickBot="1" x14ac:dyDescent="0.3">
      <c r="A23" s="4" t="s">
        <v>0</v>
      </c>
      <c r="B23" s="2" t="s">
        <v>1</v>
      </c>
      <c r="C23" s="12">
        <v>2</v>
      </c>
      <c r="D23" s="17" t="s">
        <v>33</v>
      </c>
      <c r="E23" s="12">
        <v>4</v>
      </c>
      <c r="F23" s="17" t="s">
        <v>33</v>
      </c>
      <c r="G23" s="12">
        <v>5</v>
      </c>
      <c r="H23" s="17" t="s">
        <v>33</v>
      </c>
    </row>
    <row r="24" spans="1:8" x14ac:dyDescent="0.25">
      <c r="A24" s="5">
        <v>1</v>
      </c>
      <c r="B24" s="1">
        <v>100</v>
      </c>
      <c r="C24" s="11" t="s">
        <v>34</v>
      </c>
      <c r="D24" s="8" t="s">
        <v>34</v>
      </c>
      <c r="E24" s="11" t="s">
        <v>34</v>
      </c>
      <c r="F24" s="8" t="s">
        <v>34</v>
      </c>
      <c r="G24" s="11" t="s">
        <v>34</v>
      </c>
      <c r="H24" s="8" t="s">
        <v>34</v>
      </c>
    </row>
    <row r="25" spans="1:8" x14ac:dyDescent="0.25">
      <c r="A25" s="5">
        <v>2</v>
      </c>
      <c r="B25" s="1">
        <v>82</v>
      </c>
      <c r="C25" s="13" t="s">
        <v>34</v>
      </c>
      <c r="D25" s="14" t="s">
        <v>34</v>
      </c>
      <c r="E25" s="11" t="s">
        <v>34</v>
      </c>
      <c r="F25" s="8" t="s">
        <v>34</v>
      </c>
      <c r="G25" s="11" t="s">
        <v>34</v>
      </c>
      <c r="H25" s="8" t="s">
        <v>34</v>
      </c>
    </row>
    <row r="26" spans="1:8" x14ac:dyDescent="0.25">
      <c r="A26" s="5">
        <v>3</v>
      </c>
      <c r="B26" s="1">
        <v>70</v>
      </c>
      <c r="C26" s="13">
        <f>AVERAGE(B24:B25)</f>
        <v>91</v>
      </c>
      <c r="D26" s="14">
        <f>ABS(B26-C26)</f>
        <v>21</v>
      </c>
      <c r="E26" s="11" t="s">
        <v>34</v>
      </c>
      <c r="F26" s="8" t="s">
        <v>34</v>
      </c>
      <c r="G26" s="11" t="s">
        <v>34</v>
      </c>
      <c r="H26" s="8" t="s">
        <v>34</v>
      </c>
    </row>
    <row r="27" spans="1:8" x14ac:dyDescent="0.25">
      <c r="A27" s="5">
        <v>4</v>
      </c>
      <c r="B27" s="1">
        <v>55</v>
      </c>
      <c r="C27" s="13">
        <f t="shared" ref="C27:C33" si="0">AVERAGE(B25:B26)</f>
        <v>76</v>
      </c>
      <c r="D27" s="14">
        <f t="shared" ref="D27:D33" si="1">ABS(B27-C27)</f>
        <v>21</v>
      </c>
      <c r="E27" s="13" t="s">
        <v>34</v>
      </c>
      <c r="F27" s="14" t="s">
        <v>34</v>
      </c>
      <c r="G27" s="11" t="s">
        <v>34</v>
      </c>
      <c r="H27" s="8" t="s">
        <v>34</v>
      </c>
    </row>
    <row r="28" spans="1:8" x14ac:dyDescent="0.25">
      <c r="A28" s="5">
        <v>5</v>
      </c>
      <c r="B28" s="1">
        <v>110</v>
      </c>
      <c r="C28" s="13">
        <f t="shared" si="0"/>
        <v>62.5</v>
      </c>
      <c r="D28" s="14">
        <f t="shared" si="1"/>
        <v>47.5</v>
      </c>
      <c r="E28" s="13">
        <f>AVERAGE(B24:B27)</f>
        <v>76.75</v>
      </c>
      <c r="F28" s="14">
        <f t="shared" ref="F28:F43" si="2">ABS(B28-E28)</f>
        <v>33.25</v>
      </c>
      <c r="G28" s="13" t="s">
        <v>34</v>
      </c>
      <c r="H28" s="14" t="s">
        <v>34</v>
      </c>
    </row>
    <row r="29" spans="1:8" x14ac:dyDescent="0.25">
      <c r="A29" s="5">
        <v>6</v>
      </c>
      <c r="B29" s="1">
        <v>85</v>
      </c>
      <c r="C29" s="13">
        <f t="shared" si="0"/>
        <v>82.5</v>
      </c>
      <c r="D29" s="14">
        <f t="shared" si="1"/>
        <v>2.5</v>
      </c>
      <c r="E29" s="13">
        <f>AVERAGE(B25:B28)</f>
        <v>79.25</v>
      </c>
      <c r="F29" s="14">
        <f t="shared" si="2"/>
        <v>5.75</v>
      </c>
      <c r="G29" s="13">
        <f>AVERAGE(B25:B29)</f>
        <v>80.400000000000006</v>
      </c>
      <c r="H29" s="14">
        <f t="shared" ref="H29:H43" si="3">ABS(B29-G29)</f>
        <v>4.5999999999999943</v>
      </c>
    </row>
    <row r="30" spans="1:8" x14ac:dyDescent="0.25">
      <c r="A30" s="5">
        <v>7</v>
      </c>
      <c r="B30" s="1">
        <v>74</v>
      </c>
      <c r="C30" s="13">
        <f t="shared" si="0"/>
        <v>97.5</v>
      </c>
      <c r="D30" s="14">
        <f t="shared" si="1"/>
        <v>23.5</v>
      </c>
      <c r="E30" s="13">
        <f>AVERAGE(B26:B29)</f>
        <v>80</v>
      </c>
      <c r="F30" s="14">
        <f t="shared" si="2"/>
        <v>6</v>
      </c>
      <c r="G30" s="13">
        <f>AVERAGE(B26:B30)</f>
        <v>78.8</v>
      </c>
      <c r="H30" s="14">
        <f t="shared" si="3"/>
        <v>4.7999999999999972</v>
      </c>
    </row>
    <row r="31" spans="1:8" x14ac:dyDescent="0.25">
      <c r="A31" s="5">
        <v>8</v>
      </c>
      <c r="B31" s="1">
        <v>62</v>
      </c>
      <c r="C31" s="13">
        <f t="shared" si="0"/>
        <v>79.5</v>
      </c>
      <c r="D31" s="14">
        <f t="shared" si="1"/>
        <v>17.5</v>
      </c>
      <c r="E31" s="13">
        <f>AVERAGE(B27:B30)</f>
        <v>81</v>
      </c>
      <c r="F31" s="14">
        <f t="shared" si="2"/>
        <v>19</v>
      </c>
      <c r="G31" s="13">
        <f>AVERAGE(B27:B31)</f>
        <v>77.2</v>
      </c>
      <c r="H31" s="14">
        <f t="shared" si="3"/>
        <v>15.200000000000003</v>
      </c>
    </row>
    <row r="32" spans="1:8" x14ac:dyDescent="0.25">
      <c r="A32" s="5">
        <v>9</v>
      </c>
      <c r="B32" s="1">
        <v>115</v>
      </c>
      <c r="C32" s="13">
        <f t="shared" si="0"/>
        <v>68</v>
      </c>
      <c r="D32" s="14">
        <f t="shared" si="1"/>
        <v>47</v>
      </c>
      <c r="E32" s="13">
        <f>AVERAGE(B28:B31)</f>
        <v>82.75</v>
      </c>
      <c r="F32" s="14">
        <f t="shared" si="2"/>
        <v>32.25</v>
      </c>
      <c r="G32" s="13">
        <f>AVERAGE(B28:B32)</f>
        <v>89.2</v>
      </c>
      <c r="H32" s="14">
        <f t="shared" si="3"/>
        <v>25.799999999999997</v>
      </c>
    </row>
    <row r="33" spans="1:16" x14ac:dyDescent="0.25">
      <c r="A33" s="5">
        <v>10</v>
      </c>
      <c r="B33" s="1">
        <v>88</v>
      </c>
      <c r="C33" s="13">
        <f t="shared" si="0"/>
        <v>88.5</v>
      </c>
      <c r="D33" s="14">
        <f t="shared" si="1"/>
        <v>0.5</v>
      </c>
      <c r="E33" s="13">
        <f t="shared" ref="E33:E38" si="4">AVERAGE(B29:B32)</f>
        <v>84</v>
      </c>
      <c r="F33" s="14">
        <f t="shared" si="2"/>
        <v>4</v>
      </c>
      <c r="G33" s="13">
        <f>AVERAGE(B29:B33)</f>
        <v>84.8</v>
      </c>
      <c r="H33" s="14">
        <f t="shared" si="3"/>
        <v>3.2000000000000028</v>
      </c>
    </row>
    <row r="34" spans="1:16" x14ac:dyDescent="0.25">
      <c r="A34" s="5">
        <v>11</v>
      </c>
      <c r="B34" s="1">
        <v>78</v>
      </c>
      <c r="C34" s="13">
        <f>AVERAGE(B32:B33)</f>
        <v>101.5</v>
      </c>
      <c r="D34" s="14">
        <f>ABS(B34-C34)</f>
        <v>23.5</v>
      </c>
      <c r="E34" s="13">
        <f t="shared" si="4"/>
        <v>84.75</v>
      </c>
      <c r="F34" s="14">
        <f t="shared" si="2"/>
        <v>6.75</v>
      </c>
      <c r="G34" s="13">
        <f t="shared" ref="G34:G39" si="5">AVERAGE(B29:B33)</f>
        <v>84.8</v>
      </c>
      <c r="H34" s="14">
        <f t="shared" si="3"/>
        <v>6.7999999999999972</v>
      </c>
    </row>
    <row r="35" spans="1:16" x14ac:dyDescent="0.25">
      <c r="A35" s="5">
        <v>12</v>
      </c>
      <c r="B35" s="1">
        <v>67</v>
      </c>
      <c r="C35" s="13">
        <f>AVERAGE(B33:B34)</f>
        <v>83</v>
      </c>
      <c r="D35" s="14">
        <f>ABS(B35-C35)</f>
        <v>16</v>
      </c>
      <c r="E35" s="13">
        <f t="shared" si="4"/>
        <v>85.75</v>
      </c>
      <c r="F35" s="14">
        <f t="shared" si="2"/>
        <v>18.75</v>
      </c>
      <c r="G35" s="13">
        <f t="shared" si="5"/>
        <v>83.4</v>
      </c>
      <c r="H35" s="14">
        <f t="shared" si="3"/>
        <v>16.400000000000006</v>
      </c>
    </row>
    <row r="36" spans="1:16" x14ac:dyDescent="0.25">
      <c r="A36" s="5">
        <v>13</v>
      </c>
      <c r="B36" s="1">
        <v>121</v>
      </c>
      <c r="C36" s="13">
        <f>AVERAGE(B34:B35)</f>
        <v>72.5</v>
      </c>
      <c r="D36" s="14">
        <f>ABS(B36-C36)</f>
        <v>48.5</v>
      </c>
      <c r="E36" s="13">
        <f t="shared" si="4"/>
        <v>87</v>
      </c>
      <c r="F36" s="14">
        <f t="shared" si="2"/>
        <v>34</v>
      </c>
      <c r="G36" s="13">
        <f t="shared" si="5"/>
        <v>82</v>
      </c>
      <c r="H36" s="14">
        <f t="shared" si="3"/>
        <v>39</v>
      </c>
    </row>
    <row r="37" spans="1:16" x14ac:dyDescent="0.25">
      <c r="A37" s="5">
        <v>14</v>
      </c>
      <c r="B37" s="1">
        <v>93</v>
      </c>
      <c r="C37" s="13">
        <f t="shared" ref="C37:C43" si="6">AVERAGE(B35:B36)</f>
        <v>94</v>
      </c>
      <c r="D37" s="14">
        <f t="shared" ref="D37:D43" si="7">ABS(B37-C37)</f>
        <v>1</v>
      </c>
      <c r="E37" s="13">
        <f t="shared" si="4"/>
        <v>88.5</v>
      </c>
      <c r="F37" s="14">
        <f t="shared" si="2"/>
        <v>4.5</v>
      </c>
      <c r="G37" s="13">
        <f t="shared" si="5"/>
        <v>93.8</v>
      </c>
      <c r="H37" s="14">
        <f t="shared" si="3"/>
        <v>0.79999999999999716</v>
      </c>
    </row>
    <row r="38" spans="1:16" x14ac:dyDescent="0.25">
      <c r="A38" s="5">
        <v>15</v>
      </c>
      <c r="B38" s="1">
        <v>84</v>
      </c>
      <c r="C38" s="13">
        <f t="shared" si="6"/>
        <v>107</v>
      </c>
      <c r="D38" s="14">
        <f t="shared" si="7"/>
        <v>23</v>
      </c>
      <c r="E38" s="13">
        <f t="shared" si="4"/>
        <v>89.75</v>
      </c>
      <c r="F38" s="14">
        <f t="shared" si="2"/>
        <v>5.75</v>
      </c>
      <c r="G38" s="13">
        <f t="shared" si="5"/>
        <v>89.4</v>
      </c>
      <c r="H38" s="14">
        <f t="shared" si="3"/>
        <v>5.4000000000000057</v>
      </c>
    </row>
    <row r="39" spans="1:16" x14ac:dyDescent="0.25">
      <c r="A39" s="5">
        <v>16</v>
      </c>
      <c r="B39" s="1">
        <v>71</v>
      </c>
      <c r="C39" s="13">
        <f t="shared" si="6"/>
        <v>88.5</v>
      </c>
      <c r="D39" s="14">
        <f t="shared" si="7"/>
        <v>17.5</v>
      </c>
      <c r="E39" s="13">
        <f>AVERAGE(B35:B38)</f>
        <v>91.25</v>
      </c>
      <c r="F39" s="14">
        <f t="shared" si="2"/>
        <v>20.25</v>
      </c>
      <c r="G39" s="13">
        <f t="shared" si="5"/>
        <v>88.6</v>
      </c>
      <c r="H39" s="14">
        <f t="shared" si="3"/>
        <v>17.599999999999994</v>
      </c>
    </row>
    <row r="40" spans="1:16" x14ac:dyDescent="0.25">
      <c r="A40" s="5">
        <v>17</v>
      </c>
      <c r="B40" s="1">
        <v>128</v>
      </c>
      <c r="C40" s="13">
        <f t="shared" si="6"/>
        <v>77.5</v>
      </c>
      <c r="D40" s="14">
        <f t="shared" si="7"/>
        <v>50.5</v>
      </c>
      <c r="E40" s="13">
        <f>AVERAGE(B36:B39)</f>
        <v>92.25</v>
      </c>
      <c r="F40" s="14">
        <f t="shared" si="2"/>
        <v>35.75</v>
      </c>
      <c r="G40" s="13">
        <f>AVERAGE(B35:B39)</f>
        <v>87.2</v>
      </c>
      <c r="H40" s="14">
        <f t="shared" si="3"/>
        <v>40.799999999999997</v>
      </c>
    </row>
    <row r="41" spans="1:16" x14ac:dyDescent="0.25">
      <c r="A41" s="5">
        <v>18</v>
      </c>
      <c r="B41" s="1">
        <v>99</v>
      </c>
      <c r="C41" s="13">
        <f t="shared" si="6"/>
        <v>99.5</v>
      </c>
      <c r="D41" s="14">
        <f t="shared" si="7"/>
        <v>0.5</v>
      </c>
      <c r="E41" s="13">
        <f>AVERAGE(B37:B40)</f>
        <v>94</v>
      </c>
      <c r="F41" s="14">
        <f t="shared" si="2"/>
        <v>5</v>
      </c>
      <c r="G41" s="13">
        <f>AVERAGE(B36:B40)</f>
        <v>99.4</v>
      </c>
      <c r="H41" s="14">
        <f t="shared" si="3"/>
        <v>0.40000000000000568</v>
      </c>
    </row>
    <row r="42" spans="1:16" x14ac:dyDescent="0.25">
      <c r="A42" s="5">
        <v>19</v>
      </c>
      <c r="B42" s="1">
        <v>89</v>
      </c>
      <c r="C42" s="13">
        <f t="shared" si="6"/>
        <v>113.5</v>
      </c>
      <c r="D42" s="14">
        <f t="shared" si="7"/>
        <v>24.5</v>
      </c>
      <c r="E42" s="13">
        <f>AVERAGE(B38:B41)</f>
        <v>95.5</v>
      </c>
      <c r="F42" s="14">
        <f t="shared" si="2"/>
        <v>6.5</v>
      </c>
      <c r="G42" s="13">
        <f>AVERAGE(B37:B41)</f>
        <v>95</v>
      </c>
      <c r="H42" s="14">
        <f t="shared" si="3"/>
        <v>6</v>
      </c>
    </row>
    <row r="43" spans="1:16" ht="15.75" thickBot="1" x14ac:dyDescent="0.3">
      <c r="A43" s="6">
        <v>20</v>
      </c>
      <c r="B43" s="1">
        <v>77</v>
      </c>
      <c r="C43" s="13">
        <f t="shared" si="6"/>
        <v>94</v>
      </c>
      <c r="D43" s="14">
        <f t="shared" si="7"/>
        <v>17</v>
      </c>
      <c r="E43" s="13">
        <f>AVERAGE(B39:B42)</f>
        <v>96.75</v>
      </c>
      <c r="F43" s="14">
        <f t="shared" si="2"/>
        <v>19.75</v>
      </c>
      <c r="G43" s="13">
        <f>AVERAGE(B38:B42)</f>
        <v>94.2</v>
      </c>
      <c r="H43" s="14">
        <f t="shared" si="3"/>
        <v>17.200000000000003</v>
      </c>
    </row>
    <row r="44" spans="1:16" ht="15.75" thickBot="1" x14ac:dyDescent="0.3">
      <c r="A44" s="306" t="s">
        <v>91</v>
      </c>
      <c r="B44" s="307"/>
      <c r="C44" s="304">
        <f>AVERAGE(D25:D33)</f>
        <v>22.5625</v>
      </c>
      <c r="D44" s="305"/>
      <c r="E44" s="310">
        <f>AVERAGE(F27:F33)</f>
        <v>16.708333333333332</v>
      </c>
      <c r="F44" s="311"/>
      <c r="G44" s="304">
        <f>AVERAGE(H28:H33)</f>
        <v>10.719999999999999</v>
      </c>
      <c r="H44" s="305"/>
    </row>
    <row r="45" spans="1:16" ht="15.75" thickBot="1" x14ac:dyDescent="0.3">
      <c r="A45" s="306" t="s">
        <v>92</v>
      </c>
      <c r="B45" s="307"/>
      <c r="C45" s="304">
        <f>AVERAGE(D35:D43)</f>
        <v>22.055555555555557</v>
      </c>
      <c r="D45" s="305"/>
      <c r="E45" s="310">
        <f>AVERAGE(F35:F43)</f>
        <v>16.694444444444443</v>
      </c>
      <c r="F45" s="311"/>
      <c r="G45" s="304">
        <f>AVERAGE(H35:H43)</f>
        <v>15.955555555555557</v>
      </c>
      <c r="H45" s="305"/>
    </row>
    <row r="46" spans="1:16" ht="15.75" thickBot="1" x14ac:dyDescent="0.3">
      <c r="A46" s="306" t="s">
        <v>85</v>
      </c>
      <c r="B46" s="307"/>
      <c r="C46" s="304">
        <f>AVERAGE(D24:D43)</f>
        <v>22.361111111111111</v>
      </c>
      <c r="D46" s="305"/>
      <c r="E46" s="310">
        <f>AVERAGE(F24:F43)</f>
        <v>16.078125</v>
      </c>
      <c r="F46" s="311"/>
      <c r="G46" s="304">
        <f>AVERAGE(H24:H43)</f>
        <v>13.6</v>
      </c>
      <c r="H46" s="305"/>
    </row>
    <row r="47" spans="1:16" ht="15.75" thickBot="1" x14ac:dyDescent="0.3"/>
    <row r="48" spans="1:16" ht="15.75" thickBot="1" x14ac:dyDescent="0.3">
      <c r="A48" s="312" t="s">
        <v>8</v>
      </c>
      <c r="B48" s="313"/>
      <c r="C48" s="313"/>
      <c r="D48" s="313"/>
      <c r="E48" s="313"/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</row>
    <row r="49" spans="1:16" ht="15.75" thickBot="1" x14ac:dyDescent="0.3">
      <c r="A49" s="12">
        <v>0.2</v>
      </c>
      <c r="B49" s="17" t="s">
        <v>33</v>
      </c>
      <c r="C49" s="12">
        <v>0.5</v>
      </c>
      <c r="D49" s="17" t="s">
        <v>33</v>
      </c>
      <c r="E49" s="12">
        <v>0.8</v>
      </c>
      <c r="F49" s="17" t="s">
        <v>33</v>
      </c>
      <c r="G49" s="12">
        <v>0.25</v>
      </c>
      <c r="H49" s="17" t="s">
        <v>33</v>
      </c>
      <c r="I49" s="12">
        <v>0.26</v>
      </c>
      <c r="J49" s="17" t="s">
        <v>33</v>
      </c>
      <c r="K49" s="12">
        <v>0.27</v>
      </c>
      <c r="L49" s="17" t="s">
        <v>33</v>
      </c>
      <c r="M49" s="12">
        <v>0.28000000000000003</v>
      </c>
      <c r="N49" s="17" t="s">
        <v>33</v>
      </c>
      <c r="O49" s="12">
        <v>0.3</v>
      </c>
      <c r="P49" s="17" t="s">
        <v>33</v>
      </c>
    </row>
    <row r="50" spans="1:16" x14ac:dyDescent="0.25">
      <c r="A50" s="11" t="s">
        <v>34</v>
      </c>
      <c r="B50" s="8" t="s">
        <v>34</v>
      </c>
      <c r="C50" s="11" t="s">
        <v>34</v>
      </c>
      <c r="D50" s="8" t="s">
        <v>34</v>
      </c>
      <c r="E50" s="11" t="s">
        <v>34</v>
      </c>
      <c r="F50" s="8" t="s">
        <v>34</v>
      </c>
      <c r="G50" s="11" t="s">
        <v>34</v>
      </c>
      <c r="H50" s="8" t="s">
        <v>34</v>
      </c>
      <c r="I50" s="11" t="s">
        <v>34</v>
      </c>
      <c r="J50" s="8" t="s">
        <v>34</v>
      </c>
      <c r="K50" s="11" t="s">
        <v>34</v>
      </c>
      <c r="L50" s="8" t="s">
        <v>34</v>
      </c>
      <c r="M50" s="11" t="s">
        <v>34</v>
      </c>
      <c r="N50" s="8" t="s">
        <v>34</v>
      </c>
      <c r="O50" s="11" t="s">
        <v>34</v>
      </c>
      <c r="P50" s="8" t="s">
        <v>34</v>
      </c>
    </row>
    <row r="51" spans="1:16" x14ac:dyDescent="0.25">
      <c r="A51" s="13">
        <f>$B$24</f>
        <v>100</v>
      </c>
      <c r="B51" s="14">
        <f t="shared" ref="B51:B69" si="8">ABS($B25-A51)</f>
        <v>18</v>
      </c>
      <c r="C51" s="13">
        <f>$B$24</f>
        <v>100</v>
      </c>
      <c r="D51" s="14">
        <f t="shared" ref="D51:D69" si="9">ABS($B25-C51)</f>
        <v>18</v>
      </c>
      <c r="E51" s="13">
        <f>$B$24</f>
        <v>100</v>
      </c>
      <c r="F51" s="14">
        <f t="shared" ref="F51:F69" si="10">ABS($B25-E51)</f>
        <v>18</v>
      </c>
      <c r="G51" s="13">
        <f>$B$24</f>
        <v>100</v>
      </c>
      <c r="H51" s="14">
        <f t="shared" ref="H51:H69" si="11">ABS($B25-G51)</f>
        <v>18</v>
      </c>
      <c r="I51" s="13">
        <f>$B$24</f>
        <v>100</v>
      </c>
      <c r="J51" s="14">
        <f t="shared" ref="J51:J59" si="12">ABS($B25-I51)</f>
        <v>18</v>
      </c>
      <c r="K51" s="13">
        <f>$B$24</f>
        <v>100</v>
      </c>
      <c r="L51" s="14">
        <f t="shared" ref="L51:L59" si="13">ABS($B25-K51)</f>
        <v>18</v>
      </c>
      <c r="M51" s="13">
        <f>$B$24</f>
        <v>100</v>
      </c>
      <c r="N51" s="14">
        <f t="shared" ref="N51:N59" si="14">ABS($B25-M51)</f>
        <v>18</v>
      </c>
      <c r="O51" s="13">
        <f>$B$24</f>
        <v>100</v>
      </c>
      <c r="P51" s="14">
        <f t="shared" ref="P51:P59" si="15">ABS($B25-O51)</f>
        <v>18</v>
      </c>
    </row>
    <row r="52" spans="1:16" x14ac:dyDescent="0.25">
      <c r="A52" s="13">
        <f t="shared" ref="A52:A69" si="16">A$49*$B25+(1-A$49)*A51</f>
        <v>96.4</v>
      </c>
      <c r="B52" s="14">
        <f t="shared" si="8"/>
        <v>26.400000000000006</v>
      </c>
      <c r="C52" s="13">
        <f t="shared" ref="C52:C69" si="17">C$49*$B25+(1-C$49)*C51</f>
        <v>91</v>
      </c>
      <c r="D52" s="14">
        <f t="shared" si="9"/>
        <v>21</v>
      </c>
      <c r="E52" s="13">
        <f t="shared" ref="E52:E69" si="18">E$49*$B25+(1-E$49)*E51</f>
        <v>85.600000000000009</v>
      </c>
      <c r="F52" s="14">
        <f t="shared" si="10"/>
        <v>15.600000000000009</v>
      </c>
      <c r="G52" s="13">
        <f t="shared" ref="G52:G69" si="19">G$49*$B25+(1-G$49)*G51</f>
        <v>95.5</v>
      </c>
      <c r="H52" s="14">
        <f t="shared" si="11"/>
        <v>25.5</v>
      </c>
      <c r="I52" s="13">
        <f t="shared" ref="I52:I59" si="20">I$49*$B25+(1-I$49)*I51</f>
        <v>95.32</v>
      </c>
      <c r="J52" s="14">
        <f t="shared" si="12"/>
        <v>25.319999999999993</v>
      </c>
      <c r="K52" s="13">
        <f t="shared" ref="K52:K59" si="21">K$49*$B25+(1-K$49)*K51</f>
        <v>95.14</v>
      </c>
      <c r="L52" s="14">
        <f t="shared" si="13"/>
        <v>25.14</v>
      </c>
      <c r="M52" s="13">
        <f t="shared" ref="M52:M59" si="22">M$49*$B25+(1-M$49)*M51</f>
        <v>94.960000000000008</v>
      </c>
      <c r="N52" s="14">
        <f t="shared" si="14"/>
        <v>24.960000000000008</v>
      </c>
      <c r="O52" s="13">
        <f t="shared" ref="O52:O59" si="23">O$49*$B25+(1-O$49)*O51</f>
        <v>94.6</v>
      </c>
      <c r="P52" s="14">
        <f t="shared" si="15"/>
        <v>24.599999999999994</v>
      </c>
    </row>
    <row r="53" spans="1:16" x14ac:dyDescent="0.25">
      <c r="A53" s="13">
        <f t="shared" si="16"/>
        <v>91.12</v>
      </c>
      <c r="B53" s="14">
        <f t="shared" si="8"/>
        <v>36.120000000000005</v>
      </c>
      <c r="C53" s="13">
        <f t="shared" si="17"/>
        <v>80.5</v>
      </c>
      <c r="D53" s="14">
        <f t="shared" si="9"/>
        <v>25.5</v>
      </c>
      <c r="E53" s="13">
        <f t="shared" si="18"/>
        <v>73.12</v>
      </c>
      <c r="F53" s="14">
        <f t="shared" si="10"/>
        <v>18.120000000000005</v>
      </c>
      <c r="G53" s="13">
        <f t="shared" si="19"/>
        <v>89.125</v>
      </c>
      <c r="H53" s="14">
        <f t="shared" si="11"/>
        <v>34.125</v>
      </c>
      <c r="I53" s="13">
        <f t="shared" si="20"/>
        <v>88.736800000000002</v>
      </c>
      <c r="J53" s="14">
        <f t="shared" si="12"/>
        <v>33.736800000000002</v>
      </c>
      <c r="K53" s="13">
        <f t="shared" si="21"/>
        <v>88.352200000000011</v>
      </c>
      <c r="L53" s="14">
        <f t="shared" si="13"/>
        <v>33.352200000000011</v>
      </c>
      <c r="M53" s="13">
        <f t="shared" si="22"/>
        <v>87.97120000000001</v>
      </c>
      <c r="N53" s="14">
        <f t="shared" si="14"/>
        <v>32.97120000000001</v>
      </c>
      <c r="O53" s="13">
        <f t="shared" si="23"/>
        <v>87.22</v>
      </c>
      <c r="P53" s="14">
        <f t="shared" si="15"/>
        <v>32.22</v>
      </c>
    </row>
    <row r="54" spans="1:16" x14ac:dyDescent="0.25">
      <c r="A54" s="13">
        <f t="shared" si="16"/>
        <v>83.896000000000001</v>
      </c>
      <c r="B54" s="14">
        <f t="shared" si="8"/>
        <v>26.103999999999999</v>
      </c>
      <c r="C54" s="13">
        <f t="shared" si="17"/>
        <v>67.75</v>
      </c>
      <c r="D54" s="14">
        <f t="shared" si="9"/>
        <v>42.25</v>
      </c>
      <c r="E54" s="13">
        <f t="shared" si="18"/>
        <v>58.623999999999995</v>
      </c>
      <c r="F54" s="14">
        <f t="shared" si="10"/>
        <v>51.376000000000005</v>
      </c>
      <c r="G54" s="13">
        <f t="shared" si="19"/>
        <v>80.59375</v>
      </c>
      <c r="H54" s="14">
        <f t="shared" si="11"/>
        <v>29.40625</v>
      </c>
      <c r="I54" s="13">
        <f t="shared" si="20"/>
        <v>79.965232</v>
      </c>
      <c r="J54" s="14">
        <f t="shared" si="12"/>
        <v>30.034768</v>
      </c>
      <c r="K54" s="13">
        <f t="shared" si="21"/>
        <v>79.347105999999997</v>
      </c>
      <c r="L54" s="14">
        <f t="shared" si="13"/>
        <v>30.652894000000003</v>
      </c>
      <c r="M54" s="13">
        <f t="shared" si="22"/>
        <v>78.739264000000006</v>
      </c>
      <c r="N54" s="14">
        <f t="shared" si="14"/>
        <v>31.260735999999994</v>
      </c>
      <c r="O54" s="13">
        <f t="shared" si="23"/>
        <v>77.554000000000002</v>
      </c>
      <c r="P54" s="14">
        <f t="shared" si="15"/>
        <v>32.445999999999998</v>
      </c>
    </row>
    <row r="55" spans="1:16" x14ac:dyDescent="0.25">
      <c r="A55" s="13">
        <f t="shared" si="16"/>
        <v>89.116799999999998</v>
      </c>
      <c r="B55" s="14">
        <f t="shared" si="8"/>
        <v>4.1167999999999978</v>
      </c>
      <c r="C55" s="13">
        <f t="shared" si="17"/>
        <v>88.875</v>
      </c>
      <c r="D55" s="14">
        <f t="shared" si="9"/>
        <v>3.875</v>
      </c>
      <c r="E55" s="13">
        <f t="shared" si="18"/>
        <v>99.724800000000002</v>
      </c>
      <c r="F55" s="14">
        <f t="shared" si="10"/>
        <v>14.724800000000002</v>
      </c>
      <c r="G55" s="13">
        <f t="shared" si="19"/>
        <v>87.9453125</v>
      </c>
      <c r="H55" s="14">
        <f t="shared" si="11"/>
        <v>2.9453125</v>
      </c>
      <c r="I55" s="13">
        <f t="shared" si="20"/>
        <v>87.774271679999998</v>
      </c>
      <c r="J55" s="14">
        <f t="shared" si="12"/>
        <v>2.7742716799999982</v>
      </c>
      <c r="K55" s="13">
        <f t="shared" si="21"/>
        <v>87.623387379999997</v>
      </c>
      <c r="L55" s="14">
        <f t="shared" si="13"/>
        <v>2.6233873799999969</v>
      </c>
      <c r="M55" s="13">
        <f t="shared" si="22"/>
        <v>87.492270079999997</v>
      </c>
      <c r="N55" s="14">
        <f t="shared" si="14"/>
        <v>2.4922700799999973</v>
      </c>
      <c r="O55" s="13">
        <f t="shared" si="23"/>
        <v>87.287800000000004</v>
      </c>
      <c r="P55" s="14">
        <f t="shared" si="15"/>
        <v>2.2878000000000043</v>
      </c>
    </row>
    <row r="56" spans="1:16" x14ac:dyDescent="0.25">
      <c r="A56" s="13">
        <f t="shared" si="16"/>
        <v>88.293440000000004</v>
      </c>
      <c r="B56" s="14">
        <f t="shared" si="8"/>
        <v>14.293440000000004</v>
      </c>
      <c r="C56" s="13">
        <f t="shared" si="17"/>
        <v>86.9375</v>
      </c>
      <c r="D56" s="14">
        <f t="shared" si="9"/>
        <v>12.9375</v>
      </c>
      <c r="E56" s="13">
        <f t="shared" si="18"/>
        <v>87.944959999999995</v>
      </c>
      <c r="F56" s="14">
        <f t="shared" si="10"/>
        <v>13.944959999999995</v>
      </c>
      <c r="G56" s="13">
        <f t="shared" si="19"/>
        <v>87.208984375</v>
      </c>
      <c r="H56" s="14">
        <f t="shared" si="11"/>
        <v>13.208984375</v>
      </c>
      <c r="I56" s="13">
        <f t="shared" si="20"/>
        <v>87.052961043199986</v>
      </c>
      <c r="J56" s="14">
        <f t="shared" si="12"/>
        <v>13.052961043199986</v>
      </c>
      <c r="K56" s="13">
        <f t="shared" si="21"/>
        <v>86.915072787399993</v>
      </c>
      <c r="L56" s="14">
        <f t="shared" si="13"/>
        <v>12.915072787399993</v>
      </c>
      <c r="M56" s="13">
        <f t="shared" si="22"/>
        <v>86.794434457599991</v>
      </c>
      <c r="N56" s="14">
        <f t="shared" si="14"/>
        <v>12.794434457599991</v>
      </c>
      <c r="O56" s="13">
        <f t="shared" si="23"/>
        <v>86.601460000000003</v>
      </c>
      <c r="P56" s="14">
        <f t="shared" si="15"/>
        <v>12.601460000000003</v>
      </c>
    </row>
    <row r="57" spans="1:16" x14ac:dyDescent="0.25">
      <c r="A57" s="13">
        <f t="shared" si="16"/>
        <v>85.434752000000003</v>
      </c>
      <c r="B57" s="14">
        <f t="shared" si="8"/>
        <v>23.434752000000003</v>
      </c>
      <c r="C57" s="13">
        <f t="shared" si="17"/>
        <v>80.46875</v>
      </c>
      <c r="D57" s="14">
        <f t="shared" si="9"/>
        <v>18.46875</v>
      </c>
      <c r="E57" s="13">
        <f t="shared" si="18"/>
        <v>76.788991999999993</v>
      </c>
      <c r="F57" s="14">
        <f t="shared" si="10"/>
        <v>14.788991999999993</v>
      </c>
      <c r="G57" s="13">
        <f t="shared" si="19"/>
        <v>83.90673828125</v>
      </c>
      <c r="H57" s="14">
        <f t="shared" si="11"/>
        <v>21.90673828125</v>
      </c>
      <c r="I57" s="13">
        <f t="shared" si="20"/>
        <v>83.65919117196799</v>
      </c>
      <c r="J57" s="14">
        <f t="shared" si="12"/>
        <v>21.65919117196799</v>
      </c>
      <c r="K57" s="13">
        <f t="shared" si="21"/>
        <v>83.428003134801997</v>
      </c>
      <c r="L57" s="14">
        <f t="shared" si="13"/>
        <v>21.428003134801997</v>
      </c>
      <c r="M57" s="13">
        <f t="shared" si="22"/>
        <v>83.211992809471994</v>
      </c>
      <c r="N57" s="14">
        <f t="shared" si="14"/>
        <v>21.211992809471994</v>
      </c>
      <c r="O57" s="13">
        <f t="shared" si="23"/>
        <v>82.821021999999999</v>
      </c>
      <c r="P57" s="14">
        <f t="shared" si="15"/>
        <v>20.821021999999999</v>
      </c>
    </row>
    <row r="58" spans="1:16" x14ac:dyDescent="0.25">
      <c r="A58" s="13">
        <f t="shared" si="16"/>
        <v>80.747801600000017</v>
      </c>
      <c r="B58" s="14">
        <f t="shared" si="8"/>
        <v>34.252198399999983</v>
      </c>
      <c r="C58" s="13">
        <f t="shared" si="17"/>
        <v>71.234375</v>
      </c>
      <c r="D58" s="14">
        <f t="shared" si="9"/>
        <v>43.765625</v>
      </c>
      <c r="E58" s="13">
        <f t="shared" si="18"/>
        <v>64.957798400000001</v>
      </c>
      <c r="F58" s="14">
        <f t="shared" si="10"/>
        <v>50.042201599999999</v>
      </c>
      <c r="G58" s="13">
        <f t="shared" si="19"/>
        <v>78.4300537109375</v>
      </c>
      <c r="H58" s="14">
        <f t="shared" si="11"/>
        <v>36.5699462890625</v>
      </c>
      <c r="I58" s="13">
        <f t="shared" si="20"/>
        <v>78.02780146725631</v>
      </c>
      <c r="J58" s="14">
        <f t="shared" si="12"/>
        <v>36.97219853274369</v>
      </c>
      <c r="K58" s="13">
        <f t="shared" si="21"/>
        <v>77.642442288405462</v>
      </c>
      <c r="L58" s="14">
        <f t="shared" si="13"/>
        <v>37.357557711594538</v>
      </c>
      <c r="M58" s="13">
        <f t="shared" si="22"/>
        <v>77.272634822819839</v>
      </c>
      <c r="N58" s="14">
        <f t="shared" si="14"/>
        <v>37.727365177180161</v>
      </c>
      <c r="O58" s="13">
        <f t="shared" si="23"/>
        <v>76.574715399999988</v>
      </c>
      <c r="P58" s="14">
        <f t="shared" si="15"/>
        <v>38.425284600000012</v>
      </c>
    </row>
    <row r="59" spans="1:16" x14ac:dyDescent="0.25">
      <c r="A59" s="13">
        <f t="shared" si="16"/>
        <v>87.598241280000011</v>
      </c>
      <c r="B59" s="14">
        <f t="shared" si="8"/>
        <v>0.40175871999998947</v>
      </c>
      <c r="C59" s="13">
        <f t="shared" si="17"/>
        <v>93.1171875</v>
      </c>
      <c r="D59" s="14">
        <f t="shared" si="9"/>
        <v>5.1171875</v>
      </c>
      <c r="E59" s="13">
        <f t="shared" si="18"/>
        <v>104.99155967999999</v>
      </c>
      <c r="F59" s="14">
        <f t="shared" si="10"/>
        <v>16.991559679999995</v>
      </c>
      <c r="G59" s="13">
        <f t="shared" si="19"/>
        <v>87.572540283203125</v>
      </c>
      <c r="H59" s="14">
        <f t="shared" si="11"/>
        <v>0.427459716796875</v>
      </c>
      <c r="I59" s="13">
        <f t="shared" si="20"/>
        <v>87.640573085769674</v>
      </c>
      <c r="J59" s="14">
        <f t="shared" si="12"/>
        <v>0.35942691423032613</v>
      </c>
      <c r="K59" s="13">
        <f t="shared" si="21"/>
        <v>87.728982870535987</v>
      </c>
      <c r="L59" s="14">
        <f t="shared" si="13"/>
        <v>0.27101712946401335</v>
      </c>
      <c r="M59" s="13">
        <f t="shared" si="22"/>
        <v>87.836297072430284</v>
      </c>
      <c r="N59" s="14">
        <f t="shared" si="14"/>
        <v>0.16370292756971594</v>
      </c>
      <c r="O59" s="13">
        <f t="shared" si="23"/>
        <v>88.102300779999979</v>
      </c>
      <c r="P59" s="14">
        <f t="shared" si="15"/>
        <v>0.10230077999997889</v>
      </c>
    </row>
    <row r="60" spans="1:16" x14ac:dyDescent="0.25">
      <c r="A60" s="13">
        <f t="shared" si="16"/>
        <v>87.678593024000008</v>
      </c>
      <c r="B60" s="14">
        <f t="shared" si="8"/>
        <v>9.6785930240000084</v>
      </c>
      <c r="C60" s="13">
        <f t="shared" si="17"/>
        <v>90.55859375</v>
      </c>
      <c r="D60" s="14">
        <f t="shared" si="9"/>
        <v>12.55859375</v>
      </c>
      <c r="E60" s="13">
        <f t="shared" si="18"/>
        <v>91.398311935999999</v>
      </c>
      <c r="F60" s="14">
        <f t="shared" si="10"/>
        <v>13.398311935999999</v>
      </c>
      <c r="G60" s="13">
        <f t="shared" si="19"/>
        <v>87.679405212402344</v>
      </c>
      <c r="H60" s="14">
        <f t="shared" si="11"/>
        <v>9.6794052124023438</v>
      </c>
      <c r="I60" s="13">
        <f t="shared" ref="I60:I69" si="24">I$49*$B33+(1-I$49)*I59</f>
        <v>87.734024083469563</v>
      </c>
      <c r="J60" s="14">
        <f t="shared" ref="J60:J69" si="25">ABS($B34-I60)</f>
        <v>9.7340240834695635</v>
      </c>
      <c r="K60" s="13">
        <f t="shared" ref="K60:K69" si="26">K$49*$B33+(1-K$49)*K59</f>
        <v>87.802157495491272</v>
      </c>
      <c r="L60" s="14">
        <f t="shared" ref="L60:L69" si="27">ABS($B34-K60)</f>
        <v>9.8021574954912722</v>
      </c>
      <c r="M60" s="13">
        <f t="shared" ref="M60:M69" si="28">M$49*$B33+(1-M$49)*M59</f>
        <v>87.882133892149795</v>
      </c>
      <c r="N60" s="14">
        <f t="shared" ref="N60:N69" si="29">ABS($B34-M60)</f>
        <v>9.8821338921497954</v>
      </c>
      <c r="O60" s="13">
        <f t="shared" ref="O60:O69" si="30">O$49*$B33+(1-O$49)*O59</f>
        <v>88.071610545999988</v>
      </c>
      <c r="P60" s="14">
        <f t="shared" ref="P60:P69" si="31">ABS($B34-O60)</f>
        <v>10.071610545999988</v>
      </c>
    </row>
    <row r="61" spans="1:16" x14ac:dyDescent="0.25">
      <c r="A61" s="13">
        <f t="shared" si="16"/>
        <v>85.742874419200007</v>
      </c>
      <c r="B61" s="14">
        <f t="shared" si="8"/>
        <v>18.742874419200007</v>
      </c>
      <c r="C61" s="13">
        <f t="shared" si="17"/>
        <v>84.279296875</v>
      </c>
      <c r="D61" s="14">
        <f t="shared" si="9"/>
        <v>17.279296875</v>
      </c>
      <c r="E61" s="13">
        <f t="shared" si="18"/>
        <v>80.679662387199997</v>
      </c>
      <c r="F61" s="14">
        <f t="shared" si="10"/>
        <v>13.679662387199997</v>
      </c>
      <c r="G61" s="13">
        <f t="shared" si="19"/>
        <v>85.259553909301758</v>
      </c>
      <c r="H61" s="14">
        <f t="shared" si="11"/>
        <v>18.259553909301758</v>
      </c>
      <c r="I61" s="13">
        <f t="shared" si="24"/>
        <v>85.203177821767483</v>
      </c>
      <c r="J61" s="14">
        <f t="shared" si="25"/>
        <v>18.203177821767483</v>
      </c>
      <c r="K61" s="13">
        <f t="shared" si="26"/>
        <v>85.155574971708631</v>
      </c>
      <c r="L61" s="14">
        <f t="shared" si="27"/>
        <v>18.155574971708631</v>
      </c>
      <c r="M61" s="13">
        <f t="shared" si="28"/>
        <v>85.115136402347844</v>
      </c>
      <c r="N61" s="14">
        <f t="shared" si="29"/>
        <v>18.115136402347844</v>
      </c>
      <c r="O61" s="13">
        <f t="shared" si="30"/>
        <v>85.050127382199989</v>
      </c>
      <c r="P61" s="14">
        <f t="shared" si="31"/>
        <v>18.050127382199989</v>
      </c>
    </row>
    <row r="62" spans="1:16" x14ac:dyDescent="0.25">
      <c r="A62" s="13">
        <f t="shared" si="16"/>
        <v>81.994299535360014</v>
      </c>
      <c r="B62" s="14">
        <f t="shared" si="8"/>
        <v>39.005700464639986</v>
      </c>
      <c r="C62" s="13">
        <f t="shared" si="17"/>
        <v>75.6396484375</v>
      </c>
      <c r="D62" s="14">
        <f t="shared" si="9"/>
        <v>45.3603515625</v>
      </c>
      <c r="E62" s="13">
        <f t="shared" si="18"/>
        <v>69.735932477440002</v>
      </c>
      <c r="F62" s="14">
        <f t="shared" si="10"/>
        <v>51.264067522559998</v>
      </c>
      <c r="G62" s="13">
        <f t="shared" si="19"/>
        <v>80.694665431976318</v>
      </c>
      <c r="H62" s="14">
        <f t="shared" si="11"/>
        <v>40.305334568023682</v>
      </c>
      <c r="I62" s="13">
        <f t="shared" si="24"/>
        <v>80.470351588107945</v>
      </c>
      <c r="J62" s="14">
        <f t="shared" si="25"/>
        <v>40.529648411892055</v>
      </c>
      <c r="K62" s="13">
        <f t="shared" si="26"/>
        <v>80.253569729347305</v>
      </c>
      <c r="L62" s="14">
        <f t="shared" si="27"/>
        <v>40.746430270652695</v>
      </c>
      <c r="M62" s="13">
        <f t="shared" si="28"/>
        <v>80.042898209690449</v>
      </c>
      <c r="N62" s="14">
        <f t="shared" si="29"/>
        <v>40.957101790309551</v>
      </c>
      <c r="O62" s="13">
        <f t="shared" si="30"/>
        <v>79.635089167539988</v>
      </c>
      <c r="P62" s="14">
        <f t="shared" si="31"/>
        <v>41.364910832460012</v>
      </c>
    </row>
    <row r="63" spans="1:16" x14ac:dyDescent="0.25">
      <c r="A63" s="13">
        <f t="shared" si="16"/>
        <v>89.795439628288023</v>
      </c>
      <c r="B63" s="14">
        <f t="shared" si="8"/>
        <v>3.2045603717119775</v>
      </c>
      <c r="C63" s="13">
        <f t="shared" si="17"/>
        <v>98.31982421875</v>
      </c>
      <c r="D63" s="14">
        <f t="shared" si="9"/>
        <v>5.31982421875</v>
      </c>
      <c r="E63" s="13">
        <f t="shared" si="18"/>
        <v>110.74718649548801</v>
      </c>
      <c r="F63" s="14">
        <f t="shared" si="10"/>
        <v>17.747186495488009</v>
      </c>
      <c r="G63" s="13">
        <f t="shared" si="19"/>
        <v>90.770999073982239</v>
      </c>
      <c r="H63" s="14">
        <f t="shared" si="11"/>
        <v>2.2290009260177612</v>
      </c>
      <c r="I63" s="13">
        <f t="shared" si="24"/>
        <v>91.008060175199887</v>
      </c>
      <c r="J63" s="14">
        <f t="shared" si="25"/>
        <v>1.991939824800113</v>
      </c>
      <c r="K63" s="13">
        <f t="shared" si="26"/>
        <v>91.255105902423537</v>
      </c>
      <c r="L63" s="14">
        <f t="shared" si="27"/>
        <v>1.7448940975764629</v>
      </c>
      <c r="M63" s="13">
        <f t="shared" si="28"/>
        <v>91.510886710977132</v>
      </c>
      <c r="N63" s="14">
        <f t="shared" si="29"/>
        <v>1.4891132890228675</v>
      </c>
      <c r="O63" s="13">
        <f t="shared" si="30"/>
        <v>92.044562417277987</v>
      </c>
      <c r="P63" s="14">
        <f t="shared" si="31"/>
        <v>0.95543758272201273</v>
      </c>
    </row>
    <row r="64" spans="1:16" x14ac:dyDescent="0.25">
      <c r="A64" s="13">
        <f t="shared" si="16"/>
        <v>90.436351702630418</v>
      </c>
      <c r="B64" s="14">
        <f t="shared" si="8"/>
        <v>6.436351702630418</v>
      </c>
      <c r="C64" s="13">
        <f t="shared" si="17"/>
        <v>95.659912109375</v>
      </c>
      <c r="D64" s="14">
        <f t="shared" si="9"/>
        <v>11.659912109375</v>
      </c>
      <c r="E64" s="13">
        <f t="shared" si="18"/>
        <v>96.549437299097605</v>
      </c>
      <c r="F64" s="14">
        <f t="shared" si="10"/>
        <v>12.549437299097605</v>
      </c>
      <c r="G64" s="13">
        <f t="shared" si="19"/>
        <v>91.328249305486679</v>
      </c>
      <c r="H64" s="14">
        <f t="shared" si="11"/>
        <v>7.3282493054866791</v>
      </c>
      <c r="I64" s="13">
        <f t="shared" si="24"/>
        <v>91.525964529647922</v>
      </c>
      <c r="J64" s="14">
        <f t="shared" si="25"/>
        <v>7.5259645296479221</v>
      </c>
      <c r="K64" s="13">
        <f t="shared" si="26"/>
        <v>91.726227308769182</v>
      </c>
      <c r="L64" s="14">
        <f t="shared" si="27"/>
        <v>7.7262273087691824</v>
      </c>
      <c r="M64" s="13">
        <f t="shared" si="28"/>
        <v>91.927838431903538</v>
      </c>
      <c r="N64" s="14">
        <f t="shared" si="29"/>
        <v>7.9278384319035382</v>
      </c>
      <c r="O64" s="13">
        <f t="shared" si="30"/>
        <v>92.331193692094587</v>
      </c>
      <c r="P64" s="14">
        <f t="shared" si="31"/>
        <v>8.3311936920945868</v>
      </c>
    </row>
    <row r="65" spans="1:16" x14ac:dyDescent="0.25">
      <c r="A65" s="13">
        <f t="shared" si="16"/>
        <v>89.14908136210434</v>
      </c>
      <c r="B65" s="14">
        <f t="shared" si="8"/>
        <v>18.14908136210434</v>
      </c>
      <c r="C65" s="13">
        <f t="shared" si="17"/>
        <v>89.8299560546875</v>
      </c>
      <c r="D65" s="14">
        <f t="shared" si="9"/>
        <v>18.8299560546875</v>
      </c>
      <c r="E65" s="13">
        <f t="shared" si="18"/>
        <v>86.509887459819524</v>
      </c>
      <c r="F65" s="14">
        <f t="shared" si="10"/>
        <v>15.509887459819524</v>
      </c>
      <c r="G65" s="13">
        <f t="shared" si="19"/>
        <v>89.496186979115009</v>
      </c>
      <c r="H65" s="14">
        <f t="shared" si="11"/>
        <v>18.496186979115009</v>
      </c>
      <c r="I65" s="13">
        <f t="shared" si="24"/>
        <v>89.569213751939472</v>
      </c>
      <c r="J65" s="14">
        <f t="shared" si="25"/>
        <v>18.569213751939472</v>
      </c>
      <c r="K65" s="13">
        <f t="shared" si="26"/>
        <v>89.640145935401506</v>
      </c>
      <c r="L65" s="14">
        <f t="shared" si="27"/>
        <v>18.640145935401506</v>
      </c>
      <c r="M65" s="13">
        <f t="shared" si="28"/>
        <v>89.70804367097054</v>
      </c>
      <c r="N65" s="14">
        <f t="shared" si="29"/>
        <v>18.70804367097054</v>
      </c>
      <c r="O65" s="13">
        <f t="shared" si="30"/>
        <v>89.831835584466205</v>
      </c>
      <c r="P65" s="14">
        <f t="shared" si="31"/>
        <v>18.831835584466205</v>
      </c>
    </row>
    <row r="66" spans="1:16" x14ac:dyDescent="0.25">
      <c r="A66" s="13">
        <f t="shared" si="16"/>
        <v>85.519265089683472</v>
      </c>
      <c r="B66" s="14">
        <f t="shared" si="8"/>
        <v>42.480734910316528</v>
      </c>
      <c r="C66" s="13">
        <f t="shared" si="17"/>
        <v>80.41497802734375</v>
      </c>
      <c r="D66" s="14">
        <f t="shared" si="9"/>
        <v>47.58502197265625</v>
      </c>
      <c r="E66" s="13">
        <f t="shared" si="18"/>
        <v>74.101977491963908</v>
      </c>
      <c r="F66" s="14">
        <f t="shared" si="10"/>
        <v>53.898022508036092</v>
      </c>
      <c r="G66" s="13">
        <f t="shared" si="19"/>
        <v>84.872140234336257</v>
      </c>
      <c r="H66" s="14">
        <f t="shared" si="11"/>
        <v>43.127859765663743</v>
      </c>
      <c r="I66" s="13">
        <f t="shared" si="24"/>
        <v>84.741218176435211</v>
      </c>
      <c r="J66" s="14">
        <f t="shared" si="25"/>
        <v>43.258781823564789</v>
      </c>
      <c r="K66" s="13">
        <f t="shared" si="26"/>
        <v>84.607306532843097</v>
      </c>
      <c r="L66" s="14">
        <f t="shared" si="27"/>
        <v>43.392693467156903</v>
      </c>
      <c r="M66" s="13">
        <f t="shared" si="28"/>
        <v>84.469791443098785</v>
      </c>
      <c r="N66" s="14">
        <f t="shared" si="29"/>
        <v>43.530208556901215</v>
      </c>
      <c r="O66" s="13">
        <f t="shared" si="30"/>
        <v>84.182284909126338</v>
      </c>
      <c r="P66" s="14">
        <f t="shared" si="31"/>
        <v>43.817715090873662</v>
      </c>
    </row>
    <row r="67" spans="1:16" x14ac:dyDescent="0.25">
      <c r="A67" s="13">
        <f t="shared" si="16"/>
        <v>94.015412071746795</v>
      </c>
      <c r="B67" s="14">
        <f t="shared" si="8"/>
        <v>4.9845879282532053</v>
      </c>
      <c r="C67" s="13">
        <f t="shared" si="17"/>
        <v>104.20748901367188</v>
      </c>
      <c r="D67" s="14">
        <f t="shared" si="9"/>
        <v>5.207489013671875</v>
      </c>
      <c r="E67" s="13">
        <f t="shared" si="18"/>
        <v>117.22039549839279</v>
      </c>
      <c r="F67" s="14">
        <f t="shared" si="10"/>
        <v>18.22039549839279</v>
      </c>
      <c r="G67" s="13">
        <f t="shared" si="19"/>
        <v>95.654105175752193</v>
      </c>
      <c r="H67" s="14">
        <f t="shared" si="11"/>
        <v>3.3458948242478073</v>
      </c>
      <c r="I67" s="13">
        <f t="shared" si="24"/>
        <v>95.988501450562055</v>
      </c>
      <c r="J67" s="14">
        <f t="shared" si="25"/>
        <v>3.0114985494379454</v>
      </c>
      <c r="K67" s="13">
        <f t="shared" si="26"/>
        <v>96.323333768975459</v>
      </c>
      <c r="L67" s="14">
        <f t="shared" si="27"/>
        <v>2.6766662310245408</v>
      </c>
      <c r="M67" s="13">
        <f t="shared" si="28"/>
        <v>96.658249839031129</v>
      </c>
      <c r="N67" s="14">
        <f t="shared" si="29"/>
        <v>2.3417501609688713</v>
      </c>
      <c r="O67" s="13">
        <f t="shared" si="30"/>
        <v>97.327599436388425</v>
      </c>
      <c r="P67" s="14">
        <f t="shared" si="31"/>
        <v>1.6724005636115749</v>
      </c>
    </row>
    <row r="68" spans="1:16" x14ac:dyDescent="0.25">
      <c r="A68" s="13">
        <f t="shared" si="16"/>
        <v>95.01232965739743</v>
      </c>
      <c r="B68" s="14">
        <f t="shared" si="8"/>
        <v>6.0123296573974301</v>
      </c>
      <c r="C68" s="13">
        <f t="shared" si="17"/>
        <v>101.60374450683594</v>
      </c>
      <c r="D68" s="14">
        <f t="shared" si="9"/>
        <v>12.603744506835938</v>
      </c>
      <c r="E68" s="13">
        <f t="shared" si="18"/>
        <v>102.64407909967855</v>
      </c>
      <c r="F68" s="14">
        <f t="shared" si="10"/>
        <v>13.644079099678549</v>
      </c>
      <c r="G68" s="13">
        <f t="shared" si="19"/>
        <v>96.490578881814145</v>
      </c>
      <c r="H68" s="14">
        <f t="shared" si="11"/>
        <v>7.4905788818141446</v>
      </c>
      <c r="I68" s="13">
        <f t="shared" si="24"/>
        <v>96.771491073415916</v>
      </c>
      <c r="J68" s="14">
        <f t="shared" si="25"/>
        <v>7.7714910734159162</v>
      </c>
      <c r="K68" s="13">
        <f t="shared" si="26"/>
        <v>97.04603365135209</v>
      </c>
      <c r="L68" s="14">
        <f t="shared" si="27"/>
        <v>8.04603365135209</v>
      </c>
      <c r="M68" s="13">
        <f t="shared" si="28"/>
        <v>97.31393988410241</v>
      </c>
      <c r="N68" s="14">
        <f t="shared" si="29"/>
        <v>8.3139398841024104</v>
      </c>
      <c r="O68" s="13">
        <f t="shared" si="30"/>
        <v>97.829319605471895</v>
      </c>
      <c r="P68" s="14">
        <f t="shared" si="31"/>
        <v>8.8293196054718948</v>
      </c>
    </row>
    <row r="69" spans="1:16" ht="15.75" thickBot="1" x14ac:dyDescent="0.3">
      <c r="A69" s="13">
        <f t="shared" si="16"/>
        <v>93.80986372591795</v>
      </c>
      <c r="B69" s="14">
        <f t="shared" si="8"/>
        <v>16.80986372591795</v>
      </c>
      <c r="C69" s="13">
        <f t="shared" si="17"/>
        <v>95.301872253417969</v>
      </c>
      <c r="D69" s="14">
        <f t="shared" si="9"/>
        <v>18.301872253417969</v>
      </c>
      <c r="E69" s="13">
        <f t="shared" si="18"/>
        <v>91.728815819935704</v>
      </c>
      <c r="F69" s="14">
        <f t="shared" si="10"/>
        <v>14.728815819935704</v>
      </c>
      <c r="G69" s="13">
        <f t="shared" si="19"/>
        <v>94.617934161360608</v>
      </c>
      <c r="H69" s="14">
        <f t="shared" si="11"/>
        <v>17.617934161360608</v>
      </c>
      <c r="I69" s="13">
        <f t="shared" si="24"/>
        <v>94.750903394327779</v>
      </c>
      <c r="J69" s="14">
        <f t="shared" si="25"/>
        <v>17.750903394327779</v>
      </c>
      <c r="K69" s="13">
        <f t="shared" si="26"/>
        <v>94.873604565487028</v>
      </c>
      <c r="L69" s="14">
        <f t="shared" si="27"/>
        <v>17.873604565487028</v>
      </c>
      <c r="M69" s="13">
        <f t="shared" si="28"/>
        <v>94.986036716553741</v>
      </c>
      <c r="N69" s="14">
        <f t="shared" si="29"/>
        <v>17.986036716553741</v>
      </c>
      <c r="O69" s="13">
        <f t="shared" si="30"/>
        <v>95.180523723830319</v>
      </c>
      <c r="P69" s="14">
        <f t="shared" si="31"/>
        <v>18.180523723830319</v>
      </c>
    </row>
    <row r="70" spans="1:16" ht="15.75" thickBot="1" x14ac:dyDescent="0.3">
      <c r="A70" s="304">
        <f>AVERAGE(B51:B59)</f>
        <v>20.346994346666666</v>
      </c>
      <c r="B70" s="305"/>
      <c r="C70" s="304">
        <f>AVERAGE(D51:D59)</f>
        <v>21.212673611111111</v>
      </c>
      <c r="D70" s="305"/>
      <c r="E70" s="304">
        <f>AVERAGE(F51:F59)</f>
        <v>23.732057031111111</v>
      </c>
      <c r="F70" s="305"/>
      <c r="G70" s="310">
        <f>AVERAGE(H51:H59)</f>
        <v>20.232187906901043</v>
      </c>
      <c r="H70" s="311"/>
      <c r="I70" s="304">
        <f>AVERAGE(J51:J59)</f>
        <v>20.212179704682441</v>
      </c>
      <c r="J70" s="305"/>
      <c r="K70" s="304">
        <f>AVERAGE(L51:L59)</f>
        <v>20.193348015917842</v>
      </c>
      <c r="L70" s="305"/>
      <c r="M70" s="304">
        <f>AVERAGE(N51:N59)</f>
        <v>20.175744605757984</v>
      </c>
      <c r="N70" s="305"/>
      <c r="O70" s="304">
        <f>AVERAGE(P51:P59)</f>
        <v>20.167096375555555</v>
      </c>
      <c r="P70" s="305"/>
    </row>
    <row r="71" spans="1:16" ht="15.75" thickBot="1" x14ac:dyDescent="0.3">
      <c r="A71" s="304">
        <f>AVERAGE(B61:B69)</f>
        <v>17.314009393574651</v>
      </c>
      <c r="B71" s="305"/>
      <c r="C71" s="304">
        <f>AVERAGE(D61:D69)</f>
        <v>20.238607618543838</v>
      </c>
      <c r="D71" s="305"/>
      <c r="E71" s="304">
        <f>AVERAGE(F61:F69)</f>
        <v>23.471283787800918</v>
      </c>
      <c r="F71" s="305"/>
      <c r="G71" s="310">
        <f>AVERAGE(H61:H69)</f>
        <v>17.5778437023368</v>
      </c>
      <c r="H71" s="311"/>
      <c r="I71" s="304">
        <f>AVERAGE(J61:J69)</f>
        <v>17.623624353421501</v>
      </c>
      <c r="J71" s="305"/>
      <c r="K71" s="304">
        <f>AVERAGE(L61:L69)</f>
        <v>17.666918944347671</v>
      </c>
      <c r="L71" s="305"/>
      <c r="M71" s="304">
        <f>AVERAGE(N61:N69)</f>
        <v>17.707685433675621</v>
      </c>
      <c r="N71" s="305"/>
      <c r="O71" s="304">
        <f>AVERAGE(P61:P69)</f>
        <v>17.781496006414475</v>
      </c>
      <c r="P71" s="305"/>
    </row>
    <row r="72" spans="1:16" ht="15.75" thickBot="1" x14ac:dyDescent="0.3">
      <c r="A72" s="304">
        <f>AVERAGE(B50:B69)</f>
        <v>18.348822457166936</v>
      </c>
      <c r="B72" s="305"/>
      <c r="C72" s="304">
        <f>AVERAGE(D50:D69)</f>
        <v>20.29579604299445</v>
      </c>
      <c r="D72" s="305"/>
      <c r="E72" s="304">
        <f>AVERAGE(F50:F69)</f>
        <v>23.064651542432014</v>
      </c>
      <c r="F72" s="305"/>
      <c r="G72" s="310">
        <f t="shared" ref="G72:O72" si="32">AVERAGE(H50:H69)</f>
        <v>18.419457352396996</v>
      </c>
      <c r="H72" s="311"/>
      <c r="I72" s="304">
        <f t="shared" si="32"/>
        <v>18.434540031916054</v>
      </c>
      <c r="J72" s="305"/>
      <c r="K72" s="304">
        <f t="shared" si="32"/>
        <v>18.449713691467412</v>
      </c>
      <c r="L72" s="305"/>
      <c r="M72" s="304">
        <f t="shared" si="32"/>
        <v>18.464894960371172</v>
      </c>
      <c r="N72" s="305"/>
      <c r="O72" s="304">
        <f t="shared" si="32"/>
        <v>18.50573378861738</v>
      </c>
      <c r="P72" s="305"/>
    </row>
  </sheetData>
  <mergeCells count="38">
    <mergeCell ref="A70:B70"/>
    <mergeCell ref="E46:F46"/>
    <mergeCell ref="G45:H45"/>
    <mergeCell ref="A71:B71"/>
    <mergeCell ref="A48:P48"/>
    <mergeCell ref="M70:N70"/>
    <mergeCell ref="O70:P70"/>
    <mergeCell ref="M71:N71"/>
    <mergeCell ref="O71:P71"/>
    <mergeCell ref="C71:D71"/>
    <mergeCell ref="E71:F71"/>
    <mergeCell ref="G70:H70"/>
    <mergeCell ref="I70:J70"/>
    <mergeCell ref="K70:L70"/>
    <mergeCell ref="G71:H71"/>
    <mergeCell ref="I71:J71"/>
    <mergeCell ref="A72:B72"/>
    <mergeCell ref="C72:D72"/>
    <mergeCell ref="E72:F72"/>
    <mergeCell ref="G72:H72"/>
    <mergeCell ref="I72:J72"/>
    <mergeCell ref="A22:H22"/>
    <mergeCell ref="A44:B44"/>
    <mergeCell ref="C44:D44"/>
    <mergeCell ref="E44:F44"/>
    <mergeCell ref="G44:H44"/>
    <mergeCell ref="A45:B45"/>
    <mergeCell ref="C45:D45"/>
    <mergeCell ref="E45:F45"/>
    <mergeCell ref="A46:B46"/>
    <mergeCell ref="C46:D46"/>
    <mergeCell ref="M72:N72"/>
    <mergeCell ref="O72:P72"/>
    <mergeCell ref="G46:H46"/>
    <mergeCell ref="C70:D70"/>
    <mergeCell ref="E70:F70"/>
    <mergeCell ref="K71:L71"/>
    <mergeCell ref="K72:L72"/>
  </mergeCells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8EB2B-F8C5-46C7-9ABF-6F19D360F4BE}">
  <sheetPr codeName="Sheet8"/>
  <dimension ref="A1:L128"/>
  <sheetViews>
    <sheetView topLeftCell="A36" zoomScale="85" zoomScaleNormal="85" workbookViewId="0">
      <selection activeCell="J26" sqref="J26"/>
    </sheetView>
  </sheetViews>
  <sheetFormatPr defaultColWidth="9.140625" defaultRowHeight="15" x14ac:dyDescent="0.25"/>
  <cols>
    <col min="1" max="1" width="18" style="1" bestFit="1" customWidth="1"/>
    <col min="2" max="2" width="12.7109375" style="1" bestFit="1" customWidth="1"/>
    <col min="3" max="4" width="10.140625" style="1" customWidth="1"/>
    <col min="5" max="5" width="14" style="1" bestFit="1" customWidth="1"/>
    <col min="6" max="6" width="18.42578125" style="1" bestFit="1" customWidth="1"/>
    <col min="7" max="7" width="12.140625" style="1" bestFit="1" customWidth="1"/>
    <col min="8" max="8" width="18.42578125" style="1" bestFit="1" customWidth="1"/>
    <col min="9" max="10" width="12.140625" style="1" customWidth="1"/>
    <col min="11" max="11" width="9.140625" style="1"/>
    <col min="12" max="12" width="18.42578125" style="1" bestFit="1" customWidth="1"/>
    <col min="13" max="13" width="9.140625" style="1"/>
    <col min="14" max="14" width="18.42578125" style="1" bestFit="1" customWidth="1"/>
    <col min="15" max="15" width="9.140625" style="1"/>
    <col min="16" max="16" width="18.42578125" style="1" bestFit="1" customWidth="1"/>
    <col min="17" max="17" width="9.140625" style="1"/>
    <col min="18" max="18" width="18.42578125" style="1" bestFit="1" customWidth="1"/>
    <col min="19" max="19" width="9.140625" style="1"/>
    <col min="20" max="20" width="18.42578125" style="1" bestFit="1" customWidth="1"/>
    <col min="21" max="21" width="9.140625" style="1"/>
    <col min="22" max="22" width="18.42578125" style="1" bestFit="1" customWidth="1"/>
    <col min="23" max="23" width="9.140625" style="1"/>
    <col min="24" max="24" width="18.42578125" style="1" bestFit="1" customWidth="1"/>
    <col min="25" max="25" width="9.140625" style="1"/>
    <col min="26" max="26" width="18.42578125" style="1" bestFit="1" customWidth="1"/>
    <col min="27" max="27" width="9.140625" style="1"/>
    <col min="28" max="28" width="18.42578125" style="1" bestFit="1" customWidth="1"/>
    <col min="29" max="29" width="9.140625" style="1"/>
    <col min="30" max="30" width="18.42578125" style="1" bestFit="1" customWidth="1"/>
    <col min="31" max="31" width="9.140625" style="1"/>
    <col min="32" max="32" width="18.42578125" style="1" bestFit="1" customWidth="1"/>
    <col min="33" max="16384" width="9.140625" style="1"/>
  </cols>
  <sheetData>
    <row r="1" spans="1:2" ht="15.75" thickBot="1" x14ac:dyDescent="0.3">
      <c r="A1" s="60" t="s">
        <v>0</v>
      </c>
      <c r="B1" s="60" t="s">
        <v>3</v>
      </c>
    </row>
    <row r="2" spans="1:2" x14ac:dyDescent="0.25">
      <c r="A2" s="5">
        <v>1</v>
      </c>
      <c r="B2" s="5">
        <v>100</v>
      </c>
    </row>
    <row r="3" spans="1:2" x14ac:dyDescent="0.25">
      <c r="A3" s="5">
        <v>2</v>
      </c>
      <c r="B3" s="5">
        <v>82</v>
      </c>
    </row>
    <row r="4" spans="1:2" x14ac:dyDescent="0.25">
      <c r="A4" s="5">
        <v>3</v>
      </c>
      <c r="B4" s="5">
        <v>70</v>
      </c>
    </row>
    <row r="5" spans="1:2" x14ac:dyDescent="0.25">
      <c r="A5" s="5">
        <v>4</v>
      </c>
      <c r="B5" s="5">
        <v>55</v>
      </c>
    </row>
    <row r="6" spans="1:2" x14ac:dyDescent="0.25">
      <c r="A6" s="5">
        <v>5</v>
      </c>
      <c r="B6" s="5">
        <v>110</v>
      </c>
    </row>
    <row r="7" spans="1:2" x14ac:dyDescent="0.25">
      <c r="A7" s="5">
        <v>6</v>
      </c>
      <c r="B7" s="5">
        <v>85</v>
      </c>
    </row>
    <row r="8" spans="1:2" x14ac:dyDescent="0.25">
      <c r="A8" s="5">
        <v>7</v>
      </c>
      <c r="B8" s="5">
        <v>74</v>
      </c>
    </row>
    <row r="9" spans="1:2" x14ac:dyDescent="0.25">
      <c r="A9" s="5">
        <v>8</v>
      </c>
      <c r="B9" s="5">
        <v>62</v>
      </c>
    </row>
    <row r="10" spans="1:2" x14ac:dyDescent="0.25">
      <c r="A10" s="5">
        <v>9</v>
      </c>
      <c r="B10" s="5">
        <v>115</v>
      </c>
    </row>
    <row r="11" spans="1:2" x14ac:dyDescent="0.25">
      <c r="A11" s="5">
        <v>10</v>
      </c>
      <c r="B11" s="5">
        <v>88</v>
      </c>
    </row>
    <row r="12" spans="1:2" x14ac:dyDescent="0.25">
      <c r="A12" s="5">
        <v>11</v>
      </c>
      <c r="B12" s="5">
        <v>78</v>
      </c>
    </row>
    <row r="13" spans="1:2" x14ac:dyDescent="0.25">
      <c r="A13" s="5">
        <v>12</v>
      </c>
      <c r="B13" s="5">
        <v>67</v>
      </c>
    </row>
    <row r="14" spans="1:2" x14ac:dyDescent="0.25">
      <c r="A14" s="5">
        <v>13</v>
      </c>
      <c r="B14" s="5">
        <v>121</v>
      </c>
    </row>
    <row r="15" spans="1:2" x14ac:dyDescent="0.25">
      <c r="A15" s="5">
        <v>14</v>
      </c>
      <c r="B15" s="5">
        <v>93</v>
      </c>
    </row>
    <row r="16" spans="1:2" x14ac:dyDescent="0.25">
      <c r="A16" s="5">
        <v>15</v>
      </c>
      <c r="B16" s="5">
        <v>84</v>
      </c>
    </row>
    <row r="17" spans="1:12" x14ac:dyDescent="0.25">
      <c r="A17" s="5">
        <v>16</v>
      </c>
      <c r="B17" s="5">
        <v>71</v>
      </c>
    </row>
    <row r="18" spans="1:12" ht="15.75" thickBot="1" x14ac:dyDescent="0.3">
      <c r="A18" s="5">
        <v>17</v>
      </c>
      <c r="B18" s="5">
        <v>128</v>
      </c>
    </row>
    <row r="19" spans="1:12" ht="15.75" thickBot="1" x14ac:dyDescent="0.3">
      <c r="A19" s="5">
        <v>18</v>
      </c>
      <c r="B19" s="5">
        <v>99</v>
      </c>
      <c r="D19" s="83" t="s">
        <v>45</v>
      </c>
      <c r="E19" s="84" t="s">
        <v>46</v>
      </c>
    </row>
    <row r="20" spans="1:12" ht="15.75" thickBot="1" x14ac:dyDescent="0.3">
      <c r="A20" s="5">
        <v>19</v>
      </c>
      <c r="B20" s="5">
        <v>89</v>
      </c>
      <c r="D20" s="127">
        <v>0.9</v>
      </c>
      <c r="E20" s="128">
        <v>0.9</v>
      </c>
    </row>
    <row r="21" spans="1:12" ht="15.75" thickBot="1" x14ac:dyDescent="0.3">
      <c r="A21" s="6">
        <v>20</v>
      </c>
      <c r="B21" s="6">
        <v>77</v>
      </c>
    </row>
    <row r="22" spans="1:12" ht="15.75" thickBot="1" x14ac:dyDescent="0.3">
      <c r="A22" s="312" t="s">
        <v>49</v>
      </c>
      <c r="B22" s="313"/>
      <c r="C22" s="313"/>
      <c r="D22" s="313"/>
      <c r="E22" s="313"/>
      <c r="F22" s="313"/>
      <c r="G22" s="313"/>
      <c r="H22" s="314"/>
    </row>
    <row r="23" spans="1:12" ht="15.75" thickBot="1" x14ac:dyDescent="0.3">
      <c r="A23" s="4" t="s">
        <v>0</v>
      </c>
      <c r="B23" s="4" t="s">
        <v>3</v>
      </c>
      <c r="C23" s="26" t="s">
        <v>45</v>
      </c>
      <c r="D23" s="4" t="s">
        <v>46</v>
      </c>
      <c r="E23" s="2" t="s">
        <v>42</v>
      </c>
      <c r="F23" s="2" t="s">
        <v>43</v>
      </c>
      <c r="G23" s="3" t="s">
        <v>44</v>
      </c>
      <c r="H23" s="4" t="s">
        <v>33</v>
      </c>
    </row>
    <row r="24" spans="1:12" x14ac:dyDescent="0.25">
      <c r="A24" s="5">
        <v>1</v>
      </c>
      <c r="B24" s="31">
        <v>100</v>
      </c>
      <c r="C24" s="36">
        <v>0.1</v>
      </c>
      <c r="D24" s="36">
        <v>0.1</v>
      </c>
      <c r="E24" s="34">
        <v>80.266999999999996</v>
      </c>
      <c r="F24" s="36">
        <v>0.69699999999999995</v>
      </c>
      <c r="G24" s="32">
        <f>E24+F24</f>
        <v>80.963999999999999</v>
      </c>
      <c r="H24" s="41">
        <f>ABS(B24-G24)</f>
        <v>19.036000000000001</v>
      </c>
    </row>
    <row r="25" spans="1:12" x14ac:dyDescent="0.25">
      <c r="A25" s="5">
        <v>2</v>
      </c>
      <c r="B25" s="5">
        <v>82</v>
      </c>
      <c r="C25" s="36">
        <v>0.2</v>
      </c>
      <c r="D25" s="36">
        <v>0.2</v>
      </c>
      <c r="E25" s="36">
        <f>($D$20*B24)+((1-$D$20)*(E24+F24))</f>
        <v>98.096400000000003</v>
      </c>
      <c r="F25" s="36">
        <f>($E$20*(E25-E24))+((1-$E$20)*F24)</f>
        <v>16.116160000000008</v>
      </c>
      <c r="G25" s="32">
        <f t="shared" ref="G25:G33" si="0">E25+F25</f>
        <v>114.21256000000001</v>
      </c>
      <c r="H25" s="42">
        <f>ABS(B25-G25)</f>
        <v>32.212560000000011</v>
      </c>
      <c r="L25" s="29"/>
    </row>
    <row r="26" spans="1:12" x14ac:dyDescent="0.25">
      <c r="A26" s="5">
        <v>3</v>
      </c>
      <c r="B26" s="5">
        <v>70</v>
      </c>
      <c r="C26" s="36">
        <v>0.3</v>
      </c>
      <c r="D26" s="36">
        <v>0.3</v>
      </c>
      <c r="E26" s="36">
        <f t="shared" ref="E26:E33" si="1">($D$20*B25)+((1-$D$20)*(E25+F25))</f>
        <v>85.221255999999997</v>
      </c>
      <c r="F26" s="36">
        <f t="shared" ref="F26:F33" si="2">($E$20*(E26-E25))+((1-$E$20)*F25)</f>
        <v>-9.9760136000000053</v>
      </c>
      <c r="G26" s="32">
        <f t="shared" si="0"/>
        <v>75.245242399999995</v>
      </c>
      <c r="H26" s="42">
        <f>ABS(B26-G26)</f>
        <v>5.2452423999999951</v>
      </c>
      <c r="L26" s="29"/>
    </row>
    <row r="27" spans="1:12" x14ac:dyDescent="0.25">
      <c r="A27" s="5">
        <v>4</v>
      </c>
      <c r="B27" s="5">
        <v>55</v>
      </c>
      <c r="C27" s="36">
        <v>0.4</v>
      </c>
      <c r="D27" s="36">
        <v>0.4</v>
      </c>
      <c r="E27" s="36">
        <f t="shared" si="1"/>
        <v>70.524524240000005</v>
      </c>
      <c r="F27" s="36">
        <f t="shared" si="2"/>
        <v>-14.224659943999994</v>
      </c>
      <c r="G27" s="32">
        <f t="shared" si="0"/>
        <v>56.29986429600001</v>
      </c>
      <c r="H27" s="42">
        <f>ABS(B27-G27)</f>
        <v>1.2998642960000097</v>
      </c>
      <c r="L27" s="29"/>
    </row>
    <row r="28" spans="1:12" x14ac:dyDescent="0.25">
      <c r="A28" s="5">
        <v>5</v>
      </c>
      <c r="B28" s="5">
        <v>110</v>
      </c>
      <c r="C28" s="36">
        <v>0.5</v>
      </c>
      <c r="D28" s="36">
        <v>0.5</v>
      </c>
      <c r="E28" s="36">
        <f t="shared" si="1"/>
        <v>55.129986429600002</v>
      </c>
      <c r="F28" s="36">
        <f t="shared" si="2"/>
        <v>-15.277550023760002</v>
      </c>
      <c r="G28" s="32">
        <f t="shared" si="0"/>
        <v>39.852436405840002</v>
      </c>
      <c r="H28" s="42">
        <f t="shared" ref="H28:H33" si="3">ABS(B28-G28)</f>
        <v>70.147563594160005</v>
      </c>
      <c r="L28" s="29"/>
    </row>
    <row r="29" spans="1:12" x14ac:dyDescent="0.25">
      <c r="A29" s="5">
        <v>6</v>
      </c>
      <c r="B29" s="5">
        <v>85</v>
      </c>
      <c r="C29" s="36">
        <v>0.6</v>
      </c>
      <c r="D29" s="36">
        <v>0.6</v>
      </c>
      <c r="E29" s="36">
        <f t="shared" si="1"/>
        <v>102.985243640584</v>
      </c>
      <c r="F29" s="36">
        <f t="shared" si="2"/>
        <v>41.541976487509601</v>
      </c>
      <c r="G29" s="32">
        <f t="shared" si="0"/>
        <v>144.5272201280936</v>
      </c>
      <c r="H29" s="42">
        <f t="shared" si="3"/>
        <v>59.527220128093603</v>
      </c>
      <c r="L29" s="29"/>
    </row>
    <row r="30" spans="1:12" x14ac:dyDescent="0.25">
      <c r="A30" s="5">
        <v>7</v>
      </c>
      <c r="B30" s="5">
        <v>74</v>
      </c>
      <c r="C30" s="36">
        <v>0.7</v>
      </c>
      <c r="D30" s="36">
        <v>0.7</v>
      </c>
      <c r="E30" s="36">
        <f t="shared" si="1"/>
        <v>90.95272201280936</v>
      </c>
      <c r="F30" s="36">
        <f t="shared" si="2"/>
        <v>-6.675071816246219</v>
      </c>
      <c r="G30" s="32">
        <f t="shared" si="0"/>
        <v>84.277650196563144</v>
      </c>
      <c r="H30" s="42">
        <f t="shared" si="3"/>
        <v>10.277650196563144</v>
      </c>
      <c r="L30" s="29"/>
    </row>
    <row r="31" spans="1:12" x14ac:dyDescent="0.25">
      <c r="A31" s="5">
        <v>8</v>
      </c>
      <c r="B31" s="5">
        <v>62</v>
      </c>
      <c r="C31" s="36">
        <v>0.8</v>
      </c>
      <c r="D31" s="36">
        <v>0.8</v>
      </c>
      <c r="E31" s="36">
        <f t="shared" si="1"/>
        <v>75.027765019656329</v>
      </c>
      <c r="F31" s="36">
        <f t="shared" si="2"/>
        <v>-14.999968475462351</v>
      </c>
      <c r="G31" s="32">
        <f t="shared" si="0"/>
        <v>60.027796544193976</v>
      </c>
      <c r="H31" s="42">
        <f t="shared" si="3"/>
        <v>1.9722034558060244</v>
      </c>
      <c r="L31" s="29"/>
    </row>
    <row r="32" spans="1:12" x14ac:dyDescent="0.25">
      <c r="A32" s="5">
        <v>9</v>
      </c>
      <c r="B32" s="5">
        <v>115</v>
      </c>
      <c r="C32" s="36">
        <v>0.9</v>
      </c>
      <c r="D32" s="36">
        <v>0.9</v>
      </c>
      <c r="E32" s="36">
        <f t="shared" si="1"/>
        <v>61.802779654419403</v>
      </c>
      <c r="F32" s="36">
        <f t="shared" si="2"/>
        <v>-13.402483676259468</v>
      </c>
      <c r="G32" s="32">
        <f t="shared" si="0"/>
        <v>48.400295978159932</v>
      </c>
      <c r="H32" s="42">
        <f t="shared" si="3"/>
        <v>66.599704021840068</v>
      </c>
      <c r="L32" s="29"/>
    </row>
    <row r="33" spans="1:12" ht="15.75" thickBot="1" x14ac:dyDescent="0.3">
      <c r="A33" s="6">
        <v>10</v>
      </c>
      <c r="B33" s="6">
        <v>88</v>
      </c>
      <c r="C33" s="40"/>
      <c r="D33" s="40"/>
      <c r="E33" s="40">
        <f t="shared" si="1"/>
        <v>108.340029597816</v>
      </c>
      <c r="F33" s="40">
        <f t="shared" si="2"/>
        <v>40.543276581430987</v>
      </c>
      <c r="G33" s="33">
        <f t="shared" si="0"/>
        <v>148.88330617924697</v>
      </c>
      <c r="H33" s="43">
        <f t="shared" si="3"/>
        <v>60.883306179246972</v>
      </c>
      <c r="L33" s="29"/>
    </row>
    <row r="34" spans="1:12" x14ac:dyDescent="0.25">
      <c r="A34" s="5">
        <v>11</v>
      </c>
      <c r="B34" s="1">
        <v>78</v>
      </c>
      <c r="C34" s="38"/>
      <c r="D34" s="36"/>
      <c r="E34" s="36">
        <v>78.77</v>
      </c>
      <c r="F34" s="36">
        <v>0.76970000000000005</v>
      </c>
      <c r="G34" s="32">
        <f>E34+F34</f>
        <v>79.539699999999996</v>
      </c>
      <c r="H34" s="42">
        <f>ABS(B34-G34)</f>
        <v>1.5396999999999963</v>
      </c>
    </row>
    <row r="35" spans="1:12" x14ac:dyDescent="0.25">
      <c r="A35" s="5">
        <v>12</v>
      </c>
      <c r="B35" s="1">
        <v>67</v>
      </c>
      <c r="C35" s="38"/>
      <c r="D35" s="36"/>
      <c r="E35" s="36">
        <f>($D$20*B34)+((1-$D$20)*(E34+F34))</f>
        <v>78.153970000000001</v>
      </c>
      <c r="F35" s="28">
        <f>($E$20*(E35-E34))+((1-$E$20)*F34)</f>
        <v>-0.47745699999999547</v>
      </c>
      <c r="G35" s="32">
        <f t="shared" ref="G35:G43" si="4">E35+F35</f>
        <v>77.676513</v>
      </c>
      <c r="H35" s="42">
        <f t="shared" ref="H35:H43" si="5">ABS(B35-G35)</f>
        <v>10.676513</v>
      </c>
    </row>
    <row r="36" spans="1:12" x14ac:dyDescent="0.25">
      <c r="A36" s="5">
        <v>13</v>
      </c>
      <c r="B36" s="1">
        <v>121</v>
      </c>
      <c r="C36" s="38"/>
      <c r="D36" s="36"/>
      <c r="E36" s="36">
        <f t="shared" ref="E36:E43" si="6">($D$20*B35)+((1-$D$20)*(E35+F35))</f>
        <v>68.067651300000009</v>
      </c>
      <c r="F36" s="28">
        <f t="shared" ref="F36:F43" si="7">($E$20*(E36-E35))+((1-$E$20)*F35)</f>
        <v>-9.1254325299999941</v>
      </c>
      <c r="G36" s="32">
        <f t="shared" si="4"/>
        <v>58.942218770000011</v>
      </c>
      <c r="H36" s="42">
        <f t="shared" si="5"/>
        <v>62.057781229999989</v>
      </c>
    </row>
    <row r="37" spans="1:12" x14ac:dyDescent="0.25">
      <c r="A37" s="5">
        <v>14</v>
      </c>
      <c r="B37" s="1">
        <v>93</v>
      </c>
      <c r="C37" s="38"/>
      <c r="D37" s="36"/>
      <c r="E37" s="36">
        <f t="shared" si="6"/>
        <v>114.79422187700001</v>
      </c>
      <c r="F37" s="28">
        <f t="shared" si="7"/>
        <v>41.141370266300001</v>
      </c>
      <c r="G37" s="32">
        <f t="shared" si="4"/>
        <v>155.93559214330003</v>
      </c>
      <c r="H37" s="42">
        <f t="shared" si="5"/>
        <v>62.935592143300028</v>
      </c>
    </row>
    <row r="38" spans="1:12" x14ac:dyDescent="0.25">
      <c r="A38" s="5">
        <v>15</v>
      </c>
      <c r="B38" s="1">
        <v>84</v>
      </c>
      <c r="C38" s="38"/>
      <c r="D38" s="36"/>
      <c r="E38" s="36">
        <f t="shared" si="6"/>
        <v>99.293559214330003</v>
      </c>
      <c r="F38" s="28">
        <f t="shared" si="7"/>
        <v>-9.8364593697730101</v>
      </c>
      <c r="G38" s="32">
        <f t="shared" si="4"/>
        <v>89.457099844556993</v>
      </c>
      <c r="H38" s="42">
        <f t="shared" si="5"/>
        <v>5.4570998445569927</v>
      </c>
    </row>
    <row r="39" spans="1:12" x14ac:dyDescent="0.25">
      <c r="A39" s="5">
        <v>16</v>
      </c>
      <c r="B39" s="1">
        <v>71</v>
      </c>
      <c r="C39" s="38"/>
      <c r="D39" s="36"/>
      <c r="E39" s="36">
        <f t="shared" si="6"/>
        <v>84.545709984455698</v>
      </c>
      <c r="F39" s="28">
        <f t="shared" si="7"/>
        <v>-14.256710243864175</v>
      </c>
      <c r="G39" s="32">
        <f t="shared" si="4"/>
        <v>70.288999740591521</v>
      </c>
      <c r="H39" s="42">
        <f t="shared" si="5"/>
        <v>0.711000259408479</v>
      </c>
    </row>
    <row r="40" spans="1:12" x14ac:dyDescent="0.25">
      <c r="A40" s="5">
        <v>17</v>
      </c>
      <c r="B40" s="1">
        <v>128</v>
      </c>
      <c r="C40" s="38"/>
      <c r="D40" s="36"/>
      <c r="E40" s="36">
        <f t="shared" si="6"/>
        <v>70.928899974059149</v>
      </c>
      <c r="F40" s="28">
        <f t="shared" si="7"/>
        <v>-13.680800033743312</v>
      </c>
      <c r="G40" s="32">
        <f t="shared" si="4"/>
        <v>57.248099940315839</v>
      </c>
      <c r="H40" s="42">
        <f t="shared" si="5"/>
        <v>70.751900059684161</v>
      </c>
    </row>
    <row r="41" spans="1:12" x14ac:dyDescent="0.25">
      <c r="A41" s="5">
        <v>18</v>
      </c>
      <c r="B41" s="1">
        <v>99</v>
      </c>
      <c r="C41" s="38"/>
      <c r="D41" s="36"/>
      <c r="E41" s="36">
        <f t="shared" si="6"/>
        <v>120.92480999403159</v>
      </c>
      <c r="F41" s="28">
        <f t="shared" si="7"/>
        <v>43.628239014600865</v>
      </c>
      <c r="G41" s="32">
        <f t="shared" si="4"/>
        <v>164.55304900863246</v>
      </c>
      <c r="H41" s="42">
        <f t="shared" si="5"/>
        <v>65.553049008632456</v>
      </c>
    </row>
    <row r="42" spans="1:12" x14ac:dyDescent="0.25">
      <c r="A42" s="5">
        <v>19</v>
      </c>
      <c r="B42" s="1">
        <v>89</v>
      </c>
      <c r="C42" s="38"/>
      <c r="D42" s="36"/>
      <c r="E42" s="36">
        <f t="shared" si="6"/>
        <v>105.55530490086325</v>
      </c>
      <c r="F42" s="28">
        <f t="shared" si="7"/>
        <v>-9.4697306823914236</v>
      </c>
      <c r="G42" s="32">
        <f t="shared" si="4"/>
        <v>96.08557421847182</v>
      </c>
      <c r="H42" s="42">
        <f t="shared" si="5"/>
        <v>7.0855742184718196</v>
      </c>
    </row>
    <row r="43" spans="1:12" ht="15.75" thickBot="1" x14ac:dyDescent="0.3">
      <c r="A43" s="6">
        <v>20</v>
      </c>
      <c r="B43" s="1">
        <v>77</v>
      </c>
      <c r="C43" s="39"/>
      <c r="D43" s="40"/>
      <c r="E43" s="36">
        <f t="shared" si="6"/>
        <v>89.708557421847189</v>
      </c>
      <c r="F43" s="28">
        <f t="shared" si="7"/>
        <v>-15.209045799353596</v>
      </c>
      <c r="G43" s="32">
        <f t="shared" si="4"/>
        <v>74.4995116224936</v>
      </c>
      <c r="H43" s="42">
        <f t="shared" si="5"/>
        <v>2.5004883775064002</v>
      </c>
    </row>
    <row r="44" spans="1:12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9">
        <f>AVERAGE(H34:H43)</f>
        <v>28.926869814156031</v>
      </c>
    </row>
    <row r="45" spans="1:12" ht="15.75" thickBot="1" x14ac:dyDescent="0.3">
      <c r="J45" s="15"/>
    </row>
    <row r="46" spans="1:12" ht="15.75" thickBot="1" x14ac:dyDescent="0.3">
      <c r="A46" s="312" t="s">
        <v>47</v>
      </c>
      <c r="B46" s="313"/>
      <c r="C46" s="313"/>
      <c r="D46" s="313"/>
      <c r="E46" s="313"/>
      <c r="F46" s="314"/>
    </row>
    <row r="47" spans="1:12" ht="15.75" thickBot="1" x14ac:dyDescent="0.3">
      <c r="A47" s="26" t="s">
        <v>45</v>
      </c>
      <c r="B47" s="2" t="s">
        <v>46</v>
      </c>
      <c r="C47" s="4" t="s">
        <v>6</v>
      </c>
      <c r="D47" s="4" t="s">
        <v>6</v>
      </c>
      <c r="E47" s="4" t="s">
        <v>88</v>
      </c>
      <c r="F47" s="3" t="s">
        <v>58</v>
      </c>
    </row>
    <row r="48" spans="1:12" ht="15.75" thickBot="1" x14ac:dyDescent="0.3">
      <c r="A48" s="98">
        <v>0.1</v>
      </c>
      <c r="B48" s="95">
        <v>0.1</v>
      </c>
      <c r="C48" s="42">
        <v>16.031127375136897</v>
      </c>
      <c r="D48" s="42">
        <v>15.511292831812892</v>
      </c>
      <c r="E48" s="42">
        <f>AVERAGE(C48:D48)</f>
        <v>15.771210103474894</v>
      </c>
      <c r="F48" s="33">
        <f>MIN(E48:E128)</f>
        <v>15.771210103474894</v>
      </c>
    </row>
    <row r="49" spans="1:5" x14ac:dyDescent="0.25">
      <c r="A49" s="11">
        <v>0.1</v>
      </c>
      <c r="B49" s="7">
        <v>0.2</v>
      </c>
      <c r="C49" s="42">
        <v>16.185752172092197</v>
      </c>
      <c r="D49" s="42">
        <v>15.801738280125875</v>
      </c>
      <c r="E49" s="42">
        <f t="shared" ref="E49:E112" si="8">AVERAGE(C49:D49)</f>
        <v>15.993745226109036</v>
      </c>
    </row>
    <row r="50" spans="1:5" x14ac:dyDescent="0.25">
      <c r="A50" s="11">
        <v>0.1</v>
      </c>
      <c r="B50" s="7">
        <v>0.3</v>
      </c>
      <c r="C50" s="42">
        <v>16.346988019488073</v>
      </c>
      <c r="D50" s="42">
        <v>16.068976006057394</v>
      </c>
      <c r="E50" s="42">
        <f t="shared" si="8"/>
        <v>16.207982012772732</v>
      </c>
    </row>
    <row r="51" spans="1:5" x14ac:dyDescent="0.25">
      <c r="A51" s="11">
        <v>0.1</v>
      </c>
      <c r="B51" s="7">
        <v>0.4</v>
      </c>
      <c r="C51" s="42">
        <v>16.512705827521412</v>
      </c>
      <c r="D51" s="42">
        <v>16.314139885364096</v>
      </c>
      <c r="E51" s="42">
        <f t="shared" si="8"/>
        <v>16.413422856442754</v>
      </c>
    </row>
    <row r="52" spans="1:5" x14ac:dyDescent="0.25">
      <c r="A52" s="11">
        <v>0.1</v>
      </c>
      <c r="B52" s="7">
        <v>0.5</v>
      </c>
      <c r="C52" s="42">
        <v>16.68100473584866</v>
      </c>
      <c r="D52" s="42">
        <v>16.538358373462728</v>
      </c>
      <c r="E52" s="42">
        <f t="shared" si="8"/>
        <v>16.609681554655694</v>
      </c>
    </row>
    <row r="53" spans="1:5" x14ac:dyDescent="0.25">
      <c r="A53" s="11">
        <v>0.1</v>
      </c>
      <c r="B53" s="7">
        <v>0.6</v>
      </c>
      <c r="C53" s="42">
        <v>16.850199172288001</v>
      </c>
      <c r="D53" s="42">
        <v>16.742752851280283</v>
      </c>
      <c r="E53" s="42">
        <f t="shared" si="8"/>
        <v>16.796476011784144</v>
      </c>
    </row>
    <row r="54" spans="1:5" x14ac:dyDescent="0.25">
      <c r="A54" s="11">
        <v>0.1</v>
      </c>
      <c r="B54" s="7">
        <v>0.7</v>
      </c>
      <c r="C54" s="42">
        <v>17.018806355957189</v>
      </c>
      <c r="D54" s="42">
        <v>16.928436044976952</v>
      </c>
      <c r="E54" s="42">
        <f t="shared" si="8"/>
        <v>16.973621200467072</v>
      </c>
    </row>
    <row r="55" spans="1:5" x14ac:dyDescent="0.25">
      <c r="A55" s="11">
        <v>0.1</v>
      </c>
      <c r="B55" s="7">
        <v>0.8</v>
      </c>
      <c r="C55" s="42">
        <v>17.185534235306989</v>
      </c>
      <c r="D55" s="42">
        <v>17.235213013352706</v>
      </c>
      <c r="E55" s="42">
        <f t="shared" si="8"/>
        <v>17.210373624329847</v>
      </c>
    </row>
    <row r="56" spans="1:5" x14ac:dyDescent="0.25">
      <c r="A56" s="11">
        <v>0.1</v>
      </c>
      <c r="B56" s="7">
        <v>0.9</v>
      </c>
      <c r="C56" s="42">
        <v>17.349269851630673</v>
      </c>
      <c r="D56" s="42">
        <v>17.551805850798068</v>
      </c>
      <c r="E56" s="42">
        <f t="shared" si="8"/>
        <v>17.450537851214371</v>
      </c>
    </row>
    <row r="57" spans="1:5" x14ac:dyDescent="0.25">
      <c r="A57" s="11">
        <v>0.2</v>
      </c>
      <c r="B57" s="7">
        <v>0.1</v>
      </c>
      <c r="C57" s="42">
        <v>16.932350938168405</v>
      </c>
      <c r="D57" s="42">
        <v>16.309121734966073</v>
      </c>
      <c r="E57" s="42">
        <f t="shared" si="8"/>
        <v>16.620736336567241</v>
      </c>
    </row>
    <row r="58" spans="1:5" x14ac:dyDescent="0.25">
      <c r="A58" s="11">
        <v>0.2</v>
      </c>
      <c r="B58" s="7">
        <v>0.2</v>
      </c>
      <c r="C58" s="42">
        <v>17.208121579241968</v>
      </c>
      <c r="D58" s="42">
        <v>16.688433156086624</v>
      </c>
      <c r="E58" s="42">
        <f t="shared" si="8"/>
        <v>16.948277367664296</v>
      </c>
    </row>
    <row r="59" spans="1:5" x14ac:dyDescent="0.25">
      <c r="A59" s="11">
        <v>0.2</v>
      </c>
      <c r="B59" s="7">
        <v>0.3</v>
      </c>
      <c r="C59" s="42">
        <v>17.503333094306516</v>
      </c>
      <c r="D59" s="42">
        <v>17.308260731809089</v>
      </c>
      <c r="E59" s="42">
        <f t="shared" si="8"/>
        <v>17.405796913057802</v>
      </c>
    </row>
    <row r="60" spans="1:5" x14ac:dyDescent="0.25">
      <c r="A60" s="11">
        <v>0.2</v>
      </c>
      <c r="B60" s="7">
        <v>0.4</v>
      </c>
      <c r="C60" s="42">
        <v>17.790637273141453</v>
      </c>
      <c r="D60" s="42">
        <v>17.835526456180386</v>
      </c>
      <c r="E60" s="42">
        <f t="shared" si="8"/>
        <v>17.813081864660919</v>
      </c>
    </row>
    <row r="61" spans="1:5" x14ac:dyDescent="0.25">
      <c r="A61" s="11">
        <v>0.2</v>
      </c>
      <c r="B61" s="7">
        <v>0.5</v>
      </c>
      <c r="C61" s="42">
        <v>18.065425599010201</v>
      </c>
      <c r="D61" s="42">
        <v>18.278370736721406</v>
      </c>
      <c r="E61" s="42">
        <f t="shared" si="8"/>
        <v>18.171898167865805</v>
      </c>
    </row>
    <row r="62" spans="1:5" x14ac:dyDescent="0.25">
      <c r="A62" s="11">
        <v>0.2</v>
      </c>
      <c r="B62" s="7">
        <v>0.6</v>
      </c>
      <c r="C62" s="42">
        <v>18.324833719592945</v>
      </c>
      <c r="D62" s="42">
        <v>18.645232092332968</v>
      </c>
      <c r="E62" s="42">
        <f t="shared" si="8"/>
        <v>18.485032905962957</v>
      </c>
    </row>
    <row r="63" spans="1:5" x14ac:dyDescent="0.25">
      <c r="A63" s="11">
        <v>0.2</v>
      </c>
      <c r="B63" s="7">
        <v>0.7</v>
      </c>
      <c r="C63" s="42">
        <v>18.567488237547934</v>
      </c>
      <c r="D63" s="42">
        <v>18.9443404825853</v>
      </c>
      <c r="E63" s="42">
        <f t="shared" si="8"/>
        <v>18.755914360066619</v>
      </c>
    </row>
    <row r="64" spans="1:5" x14ac:dyDescent="0.25">
      <c r="A64" s="11">
        <v>0.2</v>
      </c>
      <c r="B64" s="7">
        <v>0.8</v>
      </c>
      <c r="C64" s="42">
        <v>18.793273854780647</v>
      </c>
      <c r="D64" s="42">
        <v>19.183685098277845</v>
      </c>
      <c r="E64" s="42">
        <f t="shared" si="8"/>
        <v>18.988479476529246</v>
      </c>
    </row>
    <row r="65" spans="1:5" x14ac:dyDescent="0.25">
      <c r="A65" s="11">
        <v>0.2</v>
      </c>
      <c r="B65" s="7">
        <v>0.9</v>
      </c>
      <c r="C65" s="42">
        <v>19.003119882064258</v>
      </c>
      <c r="D65" s="42">
        <v>19.370985660937389</v>
      </c>
      <c r="E65" s="42">
        <f t="shared" si="8"/>
        <v>19.187052771500824</v>
      </c>
    </row>
    <row r="66" spans="1:5" x14ac:dyDescent="0.25">
      <c r="A66" s="11">
        <v>0.3</v>
      </c>
      <c r="B66" s="7">
        <v>0.1</v>
      </c>
      <c r="C66" s="42">
        <v>17.927355062668312</v>
      </c>
      <c r="D66" s="42">
        <v>17.130763268100399</v>
      </c>
      <c r="E66" s="42">
        <f t="shared" si="8"/>
        <v>17.529059165384353</v>
      </c>
    </row>
    <row r="67" spans="1:5" x14ac:dyDescent="0.25">
      <c r="A67" s="11">
        <v>0.3</v>
      </c>
      <c r="B67" s="7">
        <v>0.2</v>
      </c>
      <c r="C67" s="42">
        <v>18.123260356357925</v>
      </c>
      <c r="D67" s="42">
        <v>17.864579010827281</v>
      </c>
      <c r="E67" s="42">
        <f t="shared" si="8"/>
        <v>17.993919683592601</v>
      </c>
    </row>
    <row r="68" spans="1:5" x14ac:dyDescent="0.25">
      <c r="A68" s="11">
        <v>0.3</v>
      </c>
      <c r="B68" s="7">
        <v>0.3</v>
      </c>
      <c r="C68" s="42">
        <v>18.402317274710825</v>
      </c>
      <c r="D68" s="42">
        <v>18.444431418377857</v>
      </c>
      <c r="E68" s="42">
        <f t="shared" si="8"/>
        <v>18.423374346544342</v>
      </c>
    </row>
    <row r="69" spans="1:5" x14ac:dyDescent="0.25">
      <c r="A69" s="11">
        <v>0.3</v>
      </c>
      <c r="B69" s="7">
        <v>0.4</v>
      </c>
      <c r="C69" s="42">
        <v>18.743805129327814</v>
      </c>
      <c r="D69" s="42">
        <v>18.963526382493079</v>
      </c>
      <c r="E69" s="42">
        <f t="shared" si="8"/>
        <v>18.853665755910448</v>
      </c>
    </row>
    <row r="70" spans="1:5" x14ac:dyDescent="0.25">
      <c r="A70" s="11">
        <v>0.3</v>
      </c>
      <c r="B70" s="7">
        <v>0.5</v>
      </c>
      <c r="C70" s="42">
        <v>19.114743536347984</v>
      </c>
      <c r="D70" s="42">
        <v>19.45007342979417</v>
      </c>
      <c r="E70" s="42">
        <f t="shared" si="8"/>
        <v>19.282408483071077</v>
      </c>
    </row>
    <row r="71" spans="1:5" x14ac:dyDescent="0.25">
      <c r="A71" s="11">
        <v>0.3</v>
      </c>
      <c r="B71" s="7">
        <v>0.6</v>
      </c>
      <c r="C71" s="42">
        <v>19.516023869939225</v>
      </c>
      <c r="D71" s="42">
        <v>19.857882792174298</v>
      </c>
      <c r="E71" s="42">
        <f t="shared" si="8"/>
        <v>19.686953331056763</v>
      </c>
    </row>
    <row r="72" spans="1:5" x14ac:dyDescent="0.25">
      <c r="A72" s="11">
        <v>0.3</v>
      </c>
      <c r="B72" s="7">
        <v>0.7</v>
      </c>
      <c r="C72" s="42">
        <v>19.946511049337531</v>
      </c>
      <c r="D72" s="42">
        <v>20.206934900699032</v>
      </c>
      <c r="E72" s="42">
        <f t="shared" si="8"/>
        <v>20.076722975018281</v>
      </c>
    </row>
    <row r="73" spans="1:5" x14ac:dyDescent="0.25">
      <c r="A73" s="11">
        <v>0.3</v>
      </c>
      <c r="B73" s="7">
        <v>0.8</v>
      </c>
      <c r="C73" s="42">
        <v>20.403602670419232</v>
      </c>
      <c r="D73" s="42">
        <v>20.515542326472211</v>
      </c>
      <c r="E73" s="42">
        <f t="shared" si="8"/>
        <v>20.459572498445723</v>
      </c>
    </row>
    <row r="74" spans="1:5" x14ac:dyDescent="0.25">
      <c r="A74" s="11">
        <v>0.3</v>
      </c>
      <c r="B74" s="7">
        <v>0.9</v>
      </c>
      <c r="C74" s="42">
        <v>20.88369735042324</v>
      </c>
      <c r="D74" s="42">
        <v>20.800279334619105</v>
      </c>
      <c r="E74" s="42">
        <f t="shared" si="8"/>
        <v>20.841988342521173</v>
      </c>
    </row>
    <row r="75" spans="1:5" x14ac:dyDescent="0.25">
      <c r="A75" s="11">
        <v>0.4</v>
      </c>
      <c r="B75" s="7">
        <v>0.1</v>
      </c>
      <c r="C75" s="42">
        <v>19.121003776002908</v>
      </c>
      <c r="D75" s="42">
        <v>18.357375134211118</v>
      </c>
      <c r="E75" s="42">
        <f t="shared" si="8"/>
        <v>18.739189455107013</v>
      </c>
    </row>
    <row r="76" spans="1:5" x14ac:dyDescent="0.25">
      <c r="A76" s="11">
        <v>0.4</v>
      </c>
      <c r="B76" s="7">
        <v>0.2</v>
      </c>
      <c r="C76" s="42">
        <v>19.438789111953035</v>
      </c>
      <c r="D76" s="42">
        <v>19.244408375136423</v>
      </c>
      <c r="E76" s="42">
        <f t="shared" si="8"/>
        <v>19.341598743544729</v>
      </c>
    </row>
    <row r="77" spans="1:5" x14ac:dyDescent="0.25">
      <c r="A77" s="11">
        <v>0.4</v>
      </c>
      <c r="B77" s="7">
        <v>0.3</v>
      </c>
      <c r="C77" s="42">
        <v>19.772175793552396</v>
      </c>
      <c r="D77" s="42">
        <v>19.966761266094483</v>
      </c>
      <c r="E77" s="42">
        <f t="shared" si="8"/>
        <v>19.86946852982344</v>
      </c>
    </row>
    <row r="78" spans="1:5" x14ac:dyDescent="0.25">
      <c r="A78" s="11">
        <v>0.4</v>
      </c>
      <c r="B78" s="7">
        <v>0.4</v>
      </c>
      <c r="C78" s="42">
        <v>20.136784757375125</v>
      </c>
      <c r="D78" s="42">
        <v>20.56831018819036</v>
      </c>
      <c r="E78" s="42">
        <f t="shared" si="8"/>
        <v>20.352547472782742</v>
      </c>
    </row>
    <row r="79" spans="1:5" x14ac:dyDescent="0.25">
      <c r="A79" s="11">
        <v>0.4</v>
      </c>
      <c r="B79" s="7">
        <v>0.5</v>
      </c>
      <c r="C79" s="42">
        <v>20.678905662873593</v>
      </c>
      <c r="D79" s="42">
        <v>21.088209188705274</v>
      </c>
      <c r="E79" s="42">
        <f t="shared" si="8"/>
        <v>20.883557425789434</v>
      </c>
    </row>
    <row r="80" spans="1:5" x14ac:dyDescent="0.25">
      <c r="A80" s="11">
        <v>0.4</v>
      </c>
      <c r="B80" s="7">
        <v>0.6</v>
      </c>
      <c r="C80" s="42">
        <v>21.253439907734958</v>
      </c>
      <c r="D80" s="42">
        <v>21.560636322775949</v>
      </c>
      <c r="E80" s="42">
        <f t="shared" si="8"/>
        <v>21.407038115255453</v>
      </c>
    </row>
    <row r="81" spans="1:5" x14ac:dyDescent="0.25">
      <c r="A81" s="11">
        <v>0.4</v>
      </c>
      <c r="B81" s="7">
        <v>0.7</v>
      </c>
      <c r="C81" s="42">
        <v>21.850382082103575</v>
      </c>
      <c r="D81" s="42">
        <v>22.014668417381067</v>
      </c>
      <c r="E81" s="42">
        <f t="shared" si="8"/>
        <v>21.932525249742319</v>
      </c>
    </row>
    <row r="82" spans="1:5" x14ac:dyDescent="0.25">
      <c r="A82" s="11">
        <v>0.4</v>
      </c>
      <c r="B82" s="7">
        <v>0.8</v>
      </c>
      <c r="C82" s="42">
        <v>22.46130580737907</v>
      </c>
      <c r="D82" s="42">
        <v>22.474268989277284</v>
      </c>
      <c r="E82" s="42">
        <f t="shared" si="8"/>
        <v>22.467787398328177</v>
      </c>
    </row>
    <row r="83" spans="1:5" x14ac:dyDescent="0.25">
      <c r="A83" s="11">
        <v>0.4</v>
      </c>
      <c r="B83" s="7">
        <v>0.9</v>
      </c>
      <c r="C83" s="42">
        <v>23.077704586913775</v>
      </c>
      <c r="D83" s="42">
        <v>22.95837487216399</v>
      </c>
      <c r="E83" s="42">
        <f t="shared" si="8"/>
        <v>23.018039729538884</v>
      </c>
    </row>
    <row r="84" spans="1:5" x14ac:dyDescent="0.25">
      <c r="A84" s="11">
        <v>0.5</v>
      </c>
      <c r="B84" s="7">
        <v>0.1</v>
      </c>
      <c r="C84" s="42">
        <v>20.383842660291386</v>
      </c>
      <c r="D84" s="42">
        <v>19.703841395640069</v>
      </c>
      <c r="E84" s="42">
        <f t="shared" si="8"/>
        <v>20.043842027965727</v>
      </c>
    </row>
    <row r="85" spans="1:5" x14ac:dyDescent="0.25">
      <c r="A85" s="11">
        <v>0.5</v>
      </c>
      <c r="B85" s="7">
        <v>0.2</v>
      </c>
      <c r="C85" s="42">
        <v>20.857556816841601</v>
      </c>
      <c r="D85" s="42">
        <v>20.629239524631682</v>
      </c>
      <c r="E85" s="42">
        <f t="shared" si="8"/>
        <v>20.74339817073664</v>
      </c>
    </row>
    <row r="86" spans="1:5" x14ac:dyDescent="0.25">
      <c r="A86" s="11">
        <v>0.5</v>
      </c>
      <c r="B86" s="7">
        <v>0.3</v>
      </c>
      <c r="C86" s="42">
        <v>21.371482795459222</v>
      </c>
      <c r="D86" s="42">
        <v>21.399815601249465</v>
      </c>
      <c r="E86" s="42">
        <f t="shared" si="8"/>
        <v>21.385649198354344</v>
      </c>
    </row>
    <row r="87" spans="1:5" x14ac:dyDescent="0.25">
      <c r="A87" s="11">
        <v>0.5</v>
      </c>
      <c r="B87" s="7">
        <v>0.4</v>
      </c>
      <c r="C87" s="42">
        <v>21.938888985206201</v>
      </c>
      <c r="D87" s="42">
        <v>22.076148930557512</v>
      </c>
      <c r="E87" s="42">
        <f t="shared" si="8"/>
        <v>22.007518957881857</v>
      </c>
    </row>
    <row r="88" spans="1:5" x14ac:dyDescent="0.25">
      <c r="A88" s="11">
        <v>0.5</v>
      </c>
      <c r="B88" s="7">
        <v>0.5</v>
      </c>
      <c r="C88" s="42">
        <v>22.564711111450187</v>
      </c>
      <c r="D88" s="42">
        <v>22.707669275398253</v>
      </c>
      <c r="E88" s="42">
        <f t="shared" si="8"/>
        <v>22.63619019342422</v>
      </c>
    </row>
    <row r="89" spans="1:5" x14ac:dyDescent="0.25">
      <c r="A89" s="11">
        <v>0.5</v>
      </c>
      <c r="B89" s="7">
        <v>0.6</v>
      </c>
      <c r="C89" s="42">
        <v>23.2487351033568</v>
      </c>
      <c r="D89" s="42">
        <v>23.332735644920643</v>
      </c>
      <c r="E89" s="42">
        <f t="shared" si="8"/>
        <v>23.29073537413872</v>
      </c>
    </row>
    <row r="90" spans="1:5" x14ac:dyDescent="0.25">
      <c r="A90" s="11">
        <v>0.5</v>
      </c>
      <c r="B90" s="7">
        <v>0.7</v>
      </c>
      <c r="C90" s="42">
        <v>23.987787894784784</v>
      </c>
      <c r="D90" s="42">
        <v>23.979037045447733</v>
      </c>
      <c r="E90" s="42">
        <f t="shared" si="8"/>
        <v>23.983412470116257</v>
      </c>
    </row>
    <row r="91" spans="1:5" x14ac:dyDescent="0.25">
      <c r="A91" s="11">
        <v>0.5</v>
      </c>
      <c r="B91" s="7">
        <v>0.8</v>
      </c>
      <c r="C91" s="42">
        <v>24.777141938201403</v>
      </c>
      <c r="D91" s="42">
        <v>24.664255796587963</v>
      </c>
      <c r="E91" s="42">
        <f t="shared" si="8"/>
        <v>24.720698867394681</v>
      </c>
    </row>
    <row r="92" spans="1:5" x14ac:dyDescent="0.25">
      <c r="A92" s="11">
        <v>0.5</v>
      </c>
      <c r="B92" s="7">
        <v>0.9</v>
      </c>
      <c r="C92" s="42">
        <v>25.611314422939508</v>
      </c>
      <c r="D92" s="42">
        <v>25.396938597377648</v>
      </c>
      <c r="E92" s="42">
        <f t="shared" si="8"/>
        <v>25.504126510158578</v>
      </c>
    </row>
    <row r="93" spans="1:5" x14ac:dyDescent="0.25">
      <c r="A93" s="11">
        <v>0.6</v>
      </c>
      <c r="B93" s="7">
        <v>0.1</v>
      </c>
      <c r="C93" s="42">
        <v>21.665946114501359</v>
      </c>
      <c r="D93" s="42">
        <v>20.894111547741527</v>
      </c>
      <c r="E93" s="42">
        <f t="shared" si="8"/>
        <v>21.280028831121442</v>
      </c>
    </row>
    <row r="94" spans="1:5" x14ac:dyDescent="0.25">
      <c r="A94" s="11">
        <v>0.6</v>
      </c>
      <c r="B94" s="7">
        <v>0.2</v>
      </c>
      <c r="C94" s="42">
        <v>22.307155309382484</v>
      </c>
      <c r="D94" s="42">
        <v>21.870726988749659</v>
      </c>
      <c r="E94" s="42">
        <f t="shared" si="8"/>
        <v>22.088941149066073</v>
      </c>
    </row>
    <row r="95" spans="1:5" x14ac:dyDescent="0.25">
      <c r="A95" s="11">
        <v>0.6</v>
      </c>
      <c r="B95" s="7">
        <v>0.3</v>
      </c>
      <c r="C95" s="42">
        <v>23.006792038739917</v>
      </c>
      <c r="D95" s="42">
        <v>22.713558984427188</v>
      </c>
      <c r="E95" s="42">
        <f t="shared" si="8"/>
        <v>22.860175511583552</v>
      </c>
    </row>
    <row r="96" spans="1:5" x14ac:dyDescent="0.25">
      <c r="A96" s="11">
        <v>0.6</v>
      </c>
      <c r="B96" s="7">
        <v>0.4</v>
      </c>
      <c r="C96" s="42">
        <v>23.772336790387321</v>
      </c>
      <c r="D96" s="42">
        <v>23.490821276109234</v>
      </c>
      <c r="E96" s="42">
        <f t="shared" si="8"/>
        <v>23.631579033248279</v>
      </c>
    </row>
    <row r="97" spans="1:5" x14ac:dyDescent="0.25">
      <c r="A97" s="11">
        <v>0.6</v>
      </c>
      <c r="B97" s="7">
        <v>0.5</v>
      </c>
      <c r="C97" s="42">
        <v>24.602117919723405</v>
      </c>
      <c r="D97" s="42">
        <v>24.250864618803568</v>
      </c>
      <c r="E97" s="42">
        <f t="shared" si="8"/>
        <v>24.426491269263487</v>
      </c>
    </row>
    <row r="98" spans="1:5" x14ac:dyDescent="0.25">
      <c r="A98" s="11">
        <v>0.6</v>
      </c>
      <c r="B98" s="7">
        <v>0.6</v>
      </c>
      <c r="C98" s="42">
        <v>25.489344450646747</v>
      </c>
      <c r="D98" s="42">
        <v>25.023625159681536</v>
      </c>
      <c r="E98" s="42">
        <f t="shared" si="8"/>
        <v>25.256484805164142</v>
      </c>
    </row>
    <row r="99" spans="1:5" x14ac:dyDescent="0.25">
      <c r="A99" s="11">
        <v>0.6</v>
      </c>
      <c r="B99" s="7">
        <v>0.7</v>
      </c>
      <c r="C99" s="42">
        <v>26.424423988228853</v>
      </c>
      <c r="D99" s="42">
        <v>25.822634559740202</v>
      </c>
      <c r="E99" s="42">
        <f t="shared" si="8"/>
        <v>26.123529273984527</v>
      </c>
    </row>
    <row r="100" spans="1:5" x14ac:dyDescent="0.25">
      <c r="A100" s="11">
        <v>0.6</v>
      </c>
      <c r="B100" s="7">
        <v>0.8</v>
      </c>
      <c r="C100" s="42">
        <v>27.396080932977291</v>
      </c>
      <c r="D100" s="42">
        <v>26.64742377418268</v>
      </c>
      <c r="E100" s="42">
        <f t="shared" si="8"/>
        <v>27.021752353579984</v>
      </c>
    </row>
    <row r="101" spans="1:5" x14ac:dyDescent="0.25">
      <c r="A101" s="11">
        <v>0.6</v>
      </c>
      <c r="B101" s="7">
        <v>0.9</v>
      </c>
      <c r="C101" s="42">
        <v>28.391701005025816</v>
      </c>
      <c r="D101" s="42">
        <v>27.48617070065588</v>
      </c>
      <c r="E101" s="42">
        <f t="shared" si="8"/>
        <v>27.938935852840849</v>
      </c>
    </row>
    <row r="102" spans="1:5" x14ac:dyDescent="0.25">
      <c r="A102" s="11">
        <v>0.7</v>
      </c>
      <c r="B102" s="7">
        <v>0.1</v>
      </c>
      <c r="C102" s="42">
        <v>22.913126952764046</v>
      </c>
      <c r="D102" s="42">
        <v>21.929177190753386</v>
      </c>
      <c r="E102" s="42">
        <f t="shared" si="8"/>
        <v>22.421152071758716</v>
      </c>
    </row>
    <row r="103" spans="1:5" x14ac:dyDescent="0.25">
      <c r="A103" s="11">
        <v>0.7</v>
      </c>
      <c r="B103" s="7">
        <v>0.2</v>
      </c>
      <c r="C103" s="42">
        <v>23.710198915422747</v>
      </c>
      <c r="D103" s="42">
        <v>22.951736585001139</v>
      </c>
      <c r="E103" s="42">
        <f t="shared" si="8"/>
        <v>23.330967750211943</v>
      </c>
    </row>
    <row r="104" spans="1:5" x14ac:dyDescent="0.25">
      <c r="A104" s="11">
        <v>0.7</v>
      </c>
      <c r="B104" s="7">
        <v>0.3</v>
      </c>
      <c r="C104" s="42">
        <v>24.571825779349197</v>
      </c>
      <c r="D104" s="42">
        <v>23.85582389447293</v>
      </c>
      <c r="E104" s="42">
        <f t="shared" si="8"/>
        <v>24.213824836911066</v>
      </c>
    </row>
    <row r="105" spans="1:5" x14ac:dyDescent="0.25">
      <c r="A105" s="11">
        <v>0.7</v>
      </c>
      <c r="B105" s="7">
        <v>0.4</v>
      </c>
      <c r="C105" s="42">
        <v>25.496496269063904</v>
      </c>
      <c r="D105" s="42">
        <v>24.705799278602065</v>
      </c>
      <c r="E105" s="42">
        <f t="shared" si="8"/>
        <v>25.101147773832984</v>
      </c>
    </row>
    <row r="106" spans="1:5" x14ac:dyDescent="0.25">
      <c r="A106" s="11">
        <v>0.7</v>
      </c>
      <c r="B106" s="7">
        <v>0.5</v>
      </c>
      <c r="C106" s="42">
        <v>26.473110211587539</v>
      </c>
      <c r="D106" s="42">
        <v>25.537361787404098</v>
      </c>
      <c r="E106" s="42">
        <f t="shared" si="8"/>
        <v>26.005235999495817</v>
      </c>
    </row>
    <row r="107" spans="1:5" x14ac:dyDescent="0.25">
      <c r="A107" s="11">
        <v>0.7</v>
      </c>
      <c r="B107" s="7">
        <v>0.6</v>
      </c>
      <c r="C107" s="42">
        <v>27.485278097179371</v>
      </c>
      <c r="D107" s="42">
        <v>26.361938117005117</v>
      </c>
      <c r="E107" s="42">
        <f t="shared" si="8"/>
        <v>26.923608107092242</v>
      </c>
    </row>
    <row r="108" spans="1:5" x14ac:dyDescent="0.25">
      <c r="A108" s="11">
        <v>0.7</v>
      </c>
      <c r="B108" s="7">
        <v>0.7</v>
      </c>
      <c r="C108" s="42">
        <v>28.513378191353091</v>
      </c>
      <c r="D108" s="42">
        <v>27.171718689074886</v>
      </c>
      <c r="E108" s="42">
        <f t="shared" si="8"/>
        <v>27.842548440213989</v>
      </c>
    </row>
    <row r="109" spans="1:5" x14ac:dyDescent="0.25">
      <c r="A109" s="11">
        <v>0.7</v>
      </c>
      <c r="B109" s="7">
        <v>0.8</v>
      </c>
      <c r="C109" s="42">
        <v>29.535353214478789</v>
      </c>
      <c r="D109" s="42">
        <v>27.94496850413983</v>
      </c>
      <c r="E109" s="42">
        <f t="shared" si="8"/>
        <v>28.740160859309309</v>
      </c>
    </row>
    <row r="110" spans="1:5" x14ac:dyDescent="0.25">
      <c r="A110" s="11">
        <v>0.7</v>
      </c>
      <c r="B110" s="7">
        <v>0.9</v>
      </c>
      <c r="C110" s="42">
        <v>30.526982248329851</v>
      </c>
      <c r="D110" s="42">
        <v>28.651298174850488</v>
      </c>
      <c r="E110" s="42">
        <f t="shared" si="8"/>
        <v>29.58914021159017</v>
      </c>
    </row>
    <row r="111" spans="1:5" x14ac:dyDescent="0.25">
      <c r="A111" s="11">
        <v>0.8</v>
      </c>
      <c r="B111" s="7">
        <v>0.1</v>
      </c>
      <c r="C111" s="42">
        <v>24.078986396250347</v>
      </c>
      <c r="D111" s="42">
        <v>22.796942483289328</v>
      </c>
      <c r="E111" s="42">
        <f t="shared" si="8"/>
        <v>23.437964439769836</v>
      </c>
    </row>
    <row r="112" spans="1:5" x14ac:dyDescent="0.25">
      <c r="A112" s="11">
        <v>0.8</v>
      </c>
      <c r="B112" s="7">
        <v>0.2</v>
      </c>
      <c r="C112" s="42">
        <v>25.001025891262412</v>
      </c>
      <c r="D112" s="42">
        <v>23.83924801412072</v>
      </c>
      <c r="E112" s="42">
        <f t="shared" si="8"/>
        <v>24.420136952691564</v>
      </c>
    </row>
    <row r="113" spans="1:5" x14ac:dyDescent="0.25">
      <c r="A113" s="11">
        <v>0.8</v>
      </c>
      <c r="B113" s="7">
        <v>0.3</v>
      </c>
      <c r="C113" s="42">
        <v>25.978079604793646</v>
      </c>
      <c r="D113" s="42">
        <v>24.762264172407757</v>
      </c>
      <c r="E113" s="42">
        <f t="shared" ref="E113:E128" si="9">AVERAGE(C113:D113)</f>
        <v>25.370171888600701</v>
      </c>
    </row>
    <row r="114" spans="1:5" x14ac:dyDescent="0.25">
      <c r="A114" s="11">
        <v>0.8</v>
      </c>
      <c r="B114" s="7">
        <v>0.4</v>
      </c>
      <c r="C114" s="42">
        <v>26.996823114560765</v>
      </c>
      <c r="D114" s="42">
        <v>25.617518947088776</v>
      </c>
      <c r="E114" s="42">
        <f t="shared" si="9"/>
        <v>26.307171030824769</v>
      </c>
    </row>
    <row r="115" spans="1:5" x14ac:dyDescent="0.25">
      <c r="A115" s="11">
        <v>0.8</v>
      </c>
      <c r="B115" s="7">
        <v>0.5</v>
      </c>
      <c r="C115" s="42">
        <v>28.034248428595191</v>
      </c>
      <c r="D115" s="42">
        <v>26.422041616040964</v>
      </c>
      <c r="E115" s="42">
        <f t="shared" si="9"/>
        <v>27.228145022318078</v>
      </c>
    </row>
    <row r="116" spans="1:5" x14ac:dyDescent="0.25">
      <c r="A116" s="11">
        <v>0.8</v>
      </c>
      <c r="B116" s="7">
        <v>0.6</v>
      </c>
      <c r="C116" s="42">
        <v>29.062179891436681</v>
      </c>
      <c r="D116" s="42">
        <v>27.167328457815138</v>
      </c>
      <c r="E116" s="42">
        <f t="shared" si="9"/>
        <v>28.114754174625908</v>
      </c>
    </row>
    <row r="117" spans="1:5" x14ac:dyDescent="0.25">
      <c r="A117" s="11">
        <v>0.8</v>
      </c>
      <c r="B117" s="7">
        <v>0.7</v>
      </c>
      <c r="C117" s="42">
        <v>30.049562983248972</v>
      </c>
      <c r="D117" s="42">
        <v>27.828527949209217</v>
      </c>
      <c r="E117" s="42">
        <f t="shared" si="9"/>
        <v>28.939045466229096</v>
      </c>
    </row>
    <row r="118" spans="1:5" x14ac:dyDescent="0.25">
      <c r="A118" s="11">
        <v>0.8</v>
      </c>
      <c r="B118" s="7">
        <v>0.8</v>
      </c>
      <c r="C118" s="42">
        <v>30.963973281956065</v>
      </c>
      <c r="D118" s="42">
        <v>28.373182559129269</v>
      </c>
      <c r="E118" s="42">
        <f t="shared" si="9"/>
        <v>29.668577920542667</v>
      </c>
    </row>
    <row r="119" spans="1:5" x14ac:dyDescent="0.25">
      <c r="A119" s="11">
        <v>0.8</v>
      </c>
      <c r="B119" s="7">
        <v>0.9</v>
      </c>
      <c r="C119" s="42">
        <v>31.773249729537859</v>
      </c>
      <c r="D119" s="42">
        <v>28.769018857167218</v>
      </c>
      <c r="E119" s="42">
        <f t="shared" si="9"/>
        <v>30.271134293352539</v>
      </c>
    </row>
    <row r="120" spans="1:5" x14ac:dyDescent="0.25">
      <c r="A120" s="11">
        <v>0.9</v>
      </c>
      <c r="B120" s="7">
        <v>0.1</v>
      </c>
      <c r="C120" s="42">
        <v>25.136461125186806</v>
      </c>
      <c r="D120" s="42">
        <v>23.496888942362872</v>
      </c>
      <c r="E120" s="42">
        <f t="shared" si="9"/>
        <v>24.316675033774839</v>
      </c>
    </row>
    <row r="121" spans="1:5" x14ac:dyDescent="0.25">
      <c r="A121" s="11">
        <v>0.9</v>
      </c>
      <c r="B121" s="7">
        <v>0.2</v>
      </c>
      <c r="C121" s="42">
        <v>26.142681854364479</v>
      </c>
      <c r="D121" s="42">
        <v>24.522884481403761</v>
      </c>
      <c r="E121" s="42">
        <f t="shared" si="9"/>
        <v>25.33278316788412</v>
      </c>
    </row>
    <row r="122" spans="1:5" x14ac:dyDescent="0.25">
      <c r="A122" s="11">
        <v>0.9</v>
      </c>
      <c r="B122" s="7">
        <v>0.3</v>
      </c>
      <c r="C122" s="42">
        <v>27.179564919621889</v>
      </c>
      <c r="D122" s="42">
        <v>25.412723673541301</v>
      </c>
      <c r="E122" s="42">
        <f t="shared" si="9"/>
        <v>26.296144296581595</v>
      </c>
    </row>
    <row r="123" spans="1:5" x14ac:dyDescent="0.25">
      <c r="A123" s="11">
        <v>0.9</v>
      </c>
      <c r="B123" s="7">
        <v>0.4</v>
      </c>
      <c r="C123" s="42">
        <v>28.221492846483237</v>
      </c>
      <c r="D123" s="42">
        <v>26.202860744866392</v>
      </c>
      <c r="E123" s="42">
        <f t="shared" si="9"/>
        <v>27.212176795674814</v>
      </c>
    </row>
    <row r="124" spans="1:5" x14ac:dyDescent="0.25">
      <c r="A124" s="11">
        <v>0.9</v>
      </c>
      <c r="B124" s="7">
        <v>0.5</v>
      </c>
      <c r="C124" s="42">
        <v>29.234770529014998</v>
      </c>
      <c r="D124" s="42">
        <v>26.895131783845194</v>
      </c>
      <c r="E124" s="42">
        <f t="shared" si="9"/>
        <v>28.064951156430098</v>
      </c>
    </row>
    <row r="125" spans="1:5" x14ac:dyDescent="0.25">
      <c r="A125" s="11">
        <v>0.9</v>
      </c>
      <c r="B125" s="7">
        <v>0.6</v>
      </c>
      <c r="C125" s="42">
        <v>30.183268425021815</v>
      </c>
      <c r="D125" s="42">
        <v>27.471259797462757</v>
      </c>
      <c r="E125" s="42">
        <f t="shared" si="9"/>
        <v>28.827264111242286</v>
      </c>
    </row>
    <row r="126" spans="1:5" x14ac:dyDescent="0.25">
      <c r="A126" s="11">
        <v>0.9</v>
      </c>
      <c r="B126" s="7">
        <v>0.7</v>
      </c>
      <c r="C126" s="42">
        <v>31.03239079627398</v>
      </c>
      <c r="D126" s="42">
        <v>27.906238929989591</v>
      </c>
      <c r="E126" s="42">
        <f t="shared" si="9"/>
        <v>29.469314863131785</v>
      </c>
    </row>
    <row r="127" spans="1:5" x14ac:dyDescent="0.25">
      <c r="A127" s="11">
        <v>0.9</v>
      </c>
      <c r="B127" s="7">
        <v>0.8</v>
      </c>
      <c r="C127" s="42">
        <v>31.752963801730942</v>
      </c>
      <c r="D127" s="42">
        <v>28.179681495218336</v>
      </c>
      <c r="E127" s="42">
        <f t="shared" si="9"/>
        <v>29.966322648474637</v>
      </c>
    </row>
    <row r="128" spans="1:5" ht="15.75" thickBot="1" x14ac:dyDescent="0.3">
      <c r="A128" s="27">
        <v>0.9</v>
      </c>
      <c r="B128" s="9">
        <v>0.9</v>
      </c>
      <c r="C128" s="43">
        <v>32.720131427170983</v>
      </c>
      <c r="D128" s="43">
        <v>28.926869814156031</v>
      </c>
      <c r="E128" s="43">
        <f t="shared" si="9"/>
        <v>30.823500620663509</v>
      </c>
    </row>
  </sheetData>
  <mergeCells count="3">
    <mergeCell ref="A44:B44"/>
    <mergeCell ref="A22:H22"/>
    <mergeCell ref="A46:F4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rend">
                <anchor moveWithCells="1" sizeWithCells="1">
                  <from>
                    <xdr:col>5</xdr:col>
                    <xdr:colOff>800100</xdr:colOff>
                    <xdr:row>18</xdr:row>
                    <xdr:rowOff>0</xdr:rowOff>
                  </from>
                  <to>
                    <xdr:col>7</xdr:col>
                    <xdr:colOff>847725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7BC70-ED9F-49A0-A294-1D866865E6C2}">
  <sheetPr codeName="Sheet9"/>
  <dimension ref="A1:L129"/>
  <sheetViews>
    <sheetView topLeftCell="A36" zoomScale="90" zoomScaleNormal="90" workbookViewId="0">
      <selection activeCell="J8" sqref="J8"/>
    </sheetView>
  </sheetViews>
  <sheetFormatPr defaultColWidth="11.140625" defaultRowHeight="15" x14ac:dyDescent="0.25"/>
  <cols>
    <col min="1" max="1" width="14.7109375" style="1" bestFit="1" customWidth="1"/>
    <col min="2" max="7" width="11.140625" style="1"/>
    <col min="8" max="8" width="18.42578125" style="1" bestFit="1" customWidth="1"/>
    <col min="9" max="16384" width="11.140625" style="1"/>
  </cols>
  <sheetData>
    <row r="1" spans="1:2" ht="15.75" thickBot="1" x14ac:dyDescent="0.3">
      <c r="A1" s="60" t="s">
        <v>0</v>
      </c>
      <c r="B1" s="60" t="s">
        <v>3</v>
      </c>
    </row>
    <row r="2" spans="1:2" x14ac:dyDescent="0.25">
      <c r="A2" s="5">
        <v>1</v>
      </c>
      <c r="B2" s="5">
        <v>100</v>
      </c>
    </row>
    <row r="3" spans="1:2" x14ac:dyDescent="0.25">
      <c r="A3" s="5">
        <v>2</v>
      </c>
      <c r="B3" s="5">
        <v>82</v>
      </c>
    </row>
    <row r="4" spans="1:2" x14ac:dyDescent="0.25">
      <c r="A4" s="5">
        <v>3</v>
      </c>
      <c r="B4" s="5">
        <v>70</v>
      </c>
    </row>
    <row r="5" spans="1:2" x14ac:dyDescent="0.25">
      <c r="A5" s="5">
        <v>4</v>
      </c>
      <c r="B5" s="5">
        <v>55</v>
      </c>
    </row>
    <row r="6" spans="1:2" x14ac:dyDescent="0.25">
      <c r="A6" s="5">
        <v>5</v>
      </c>
      <c r="B6" s="5">
        <v>110</v>
      </c>
    </row>
    <row r="7" spans="1:2" x14ac:dyDescent="0.25">
      <c r="A7" s="5">
        <v>6</v>
      </c>
      <c r="B7" s="5">
        <v>85</v>
      </c>
    </row>
    <row r="8" spans="1:2" x14ac:dyDescent="0.25">
      <c r="A8" s="5">
        <v>7</v>
      </c>
      <c r="B8" s="5">
        <v>74</v>
      </c>
    </row>
    <row r="9" spans="1:2" x14ac:dyDescent="0.25">
      <c r="A9" s="5">
        <v>8</v>
      </c>
      <c r="B9" s="5">
        <v>62</v>
      </c>
    </row>
    <row r="10" spans="1:2" x14ac:dyDescent="0.25">
      <c r="A10" s="5">
        <v>9</v>
      </c>
      <c r="B10" s="5">
        <v>115</v>
      </c>
    </row>
    <row r="11" spans="1:2" x14ac:dyDescent="0.25">
      <c r="A11" s="5">
        <v>10</v>
      </c>
      <c r="B11" s="5">
        <v>88</v>
      </c>
    </row>
    <row r="12" spans="1:2" x14ac:dyDescent="0.25">
      <c r="A12" s="5">
        <v>11</v>
      </c>
      <c r="B12" s="5">
        <v>78</v>
      </c>
    </row>
    <row r="13" spans="1:2" x14ac:dyDescent="0.25">
      <c r="A13" s="5">
        <v>12</v>
      </c>
      <c r="B13" s="5">
        <v>67</v>
      </c>
    </row>
    <row r="14" spans="1:2" x14ac:dyDescent="0.25">
      <c r="A14" s="5">
        <v>13</v>
      </c>
      <c r="B14" s="5">
        <v>121</v>
      </c>
    </row>
    <row r="15" spans="1:2" x14ac:dyDescent="0.25">
      <c r="A15" s="5">
        <v>14</v>
      </c>
      <c r="B15" s="5">
        <v>93</v>
      </c>
    </row>
    <row r="16" spans="1:2" x14ac:dyDescent="0.25">
      <c r="A16" s="5">
        <v>15</v>
      </c>
      <c r="B16" s="5">
        <v>84</v>
      </c>
    </row>
    <row r="17" spans="1:12" x14ac:dyDescent="0.25">
      <c r="A17" s="5">
        <v>16</v>
      </c>
      <c r="B17" s="5">
        <v>71</v>
      </c>
    </row>
    <row r="18" spans="1:12" ht="15.75" thickBot="1" x14ac:dyDescent="0.3">
      <c r="A18" s="5">
        <v>17</v>
      </c>
      <c r="B18" s="5">
        <v>128</v>
      </c>
    </row>
    <row r="19" spans="1:12" ht="15.75" thickBot="1" x14ac:dyDescent="0.3">
      <c r="A19" s="5">
        <v>18</v>
      </c>
      <c r="B19" s="5">
        <v>99</v>
      </c>
      <c r="D19" s="83" t="s">
        <v>45</v>
      </c>
      <c r="E19" s="84" t="s">
        <v>48</v>
      </c>
    </row>
    <row r="20" spans="1:12" ht="15.75" thickBot="1" x14ac:dyDescent="0.3">
      <c r="A20" s="5">
        <v>19</v>
      </c>
      <c r="B20" s="5">
        <v>89</v>
      </c>
      <c r="D20" s="127">
        <v>0.9</v>
      </c>
      <c r="E20" s="128">
        <v>0.9</v>
      </c>
    </row>
    <row r="21" spans="1:12" ht="15.75" thickBot="1" x14ac:dyDescent="0.3">
      <c r="A21" s="6">
        <v>20</v>
      </c>
      <c r="B21" s="6">
        <v>77</v>
      </c>
    </row>
    <row r="22" spans="1:12" ht="15.75" thickBot="1" x14ac:dyDescent="0.3">
      <c r="A22" s="312" t="s">
        <v>60</v>
      </c>
      <c r="B22" s="313"/>
      <c r="C22" s="313"/>
      <c r="D22" s="313"/>
      <c r="E22" s="313"/>
      <c r="F22" s="313"/>
      <c r="G22" s="313"/>
      <c r="H22" s="314"/>
    </row>
    <row r="23" spans="1:12" ht="15.75" thickBot="1" x14ac:dyDescent="0.3">
      <c r="A23" s="4" t="s">
        <v>0</v>
      </c>
      <c r="B23" s="4" t="s">
        <v>3</v>
      </c>
      <c r="C23" s="26" t="s">
        <v>45</v>
      </c>
      <c r="D23" s="30" t="s">
        <v>48</v>
      </c>
      <c r="E23" s="2" t="s">
        <v>51</v>
      </c>
      <c r="F23" s="2" t="s">
        <v>52</v>
      </c>
      <c r="G23" s="2" t="s">
        <v>42</v>
      </c>
      <c r="H23" s="4" t="s">
        <v>33</v>
      </c>
    </row>
    <row r="24" spans="1:12" x14ac:dyDescent="0.25">
      <c r="A24" s="31">
        <v>1</v>
      </c>
      <c r="B24" s="31">
        <v>100</v>
      </c>
      <c r="C24" s="37">
        <v>0.1</v>
      </c>
      <c r="D24" s="35">
        <v>0.1</v>
      </c>
      <c r="E24" s="34"/>
      <c r="F24" s="28">
        <f>B24/$E$27</f>
        <v>40</v>
      </c>
      <c r="G24" s="34"/>
      <c r="H24" s="41"/>
    </row>
    <row r="25" spans="1:12" x14ac:dyDescent="0.25">
      <c r="A25" s="5">
        <v>2</v>
      </c>
      <c r="B25" s="5">
        <v>82</v>
      </c>
      <c r="C25" s="38">
        <v>0.2</v>
      </c>
      <c r="D25" s="32">
        <v>0.2</v>
      </c>
      <c r="E25" s="36"/>
      <c r="F25" s="28">
        <f>B25/$E$27</f>
        <v>32.799999999999997</v>
      </c>
      <c r="G25" s="36"/>
      <c r="H25" s="42"/>
      <c r="L25" s="29"/>
    </row>
    <row r="26" spans="1:12" x14ac:dyDescent="0.25">
      <c r="A26" s="5">
        <v>3</v>
      </c>
      <c r="B26" s="5">
        <v>70</v>
      </c>
      <c r="C26" s="38">
        <v>0.3</v>
      </c>
      <c r="D26" s="32">
        <v>0.3</v>
      </c>
      <c r="E26" s="36"/>
      <c r="F26" s="28">
        <f>B26/$E$27</f>
        <v>28</v>
      </c>
      <c r="G26" s="36"/>
      <c r="H26" s="42"/>
      <c r="L26" s="29"/>
    </row>
    <row r="27" spans="1:12" ht="15.75" thickBot="1" x14ac:dyDescent="0.3">
      <c r="A27" s="5">
        <v>4</v>
      </c>
      <c r="B27" s="5">
        <v>55</v>
      </c>
      <c r="C27" s="38">
        <v>0.4</v>
      </c>
      <c r="D27" s="32">
        <v>0.4</v>
      </c>
      <c r="E27" s="36">
        <f>AVERAGE(A24:A27)</f>
        <v>2.5</v>
      </c>
      <c r="F27" s="28">
        <f>B27/$E$27</f>
        <v>22</v>
      </c>
      <c r="G27" s="36"/>
      <c r="H27" s="42"/>
      <c r="L27" s="29"/>
    </row>
    <row r="28" spans="1:12" x14ac:dyDescent="0.25">
      <c r="A28" s="45">
        <v>5</v>
      </c>
      <c r="B28" s="31">
        <v>110</v>
      </c>
      <c r="C28" s="37">
        <v>0.5</v>
      </c>
      <c r="D28" s="35">
        <v>0.5</v>
      </c>
      <c r="E28" s="34">
        <f>(($D$20*(B28/F24))+((1-$D$20)*(E27)))</f>
        <v>2.7250000000000001</v>
      </c>
      <c r="F28" s="34">
        <f>($E$20*(B28/E28))+((1-$E$20)*F24)</f>
        <v>40.330275229357795</v>
      </c>
      <c r="G28" s="34">
        <f>E27*F24</f>
        <v>100</v>
      </c>
      <c r="H28" s="41">
        <f>ABS(B28-G28)</f>
        <v>10</v>
      </c>
      <c r="L28" s="29"/>
    </row>
    <row r="29" spans="1:12" x14ac:dyDescent="0.25">
      <c r="A29" s="11">
        <v>6</v>
      </c>
      <c r="B29" s="5">
        <v>85</v>
      </c>
      <c r="C29" s="38">
        <v>0.6</v>
      </c>
      <c r="D29" s="32">
        <v>0.6</v>
      </c>
      <c r="E29" s="36">
        <f t="shared" ref="E29:E43" si="0">(($D$20*(B29/F25))+((1-$D$20)*(E28)))</f>
        <v>2.6048170731707319</v>
      </c>
      <c r="F29" s="36">
        <f t="shared" ref="F29:F43" si="1">($E$20*(B29/E29))+((1-$E$20)*F25)</f>
        <v>32.648664996839813</v>
      </c>
      <c r="G29" s="36">
        <f t="shared" ref="G29:G43" si="2">E28*F25</f>
        <v>89.38</v>
      </c>
      <c r="H29" s="42">
        <f t="shared" ref="H29:H43" si="3">ABS(B29-G29)</f>
        <v>4.3799999999999955</v>
      </c>
      <c r="L29" s="29"/>
    </row>
    <row r="30" spans="1:12" x14ac:dyDescent="0.25">
      <c r="A30" s="11">
        <v>7</v>
      </c>
      <c r="B30" s="5">
        <v>74</v>
      </c>
      <c r="C30" s="38">
        <v>0.7</v>
      </c>
      <c r="D30" s="32">
        <v>0.7</v>
      </c>
      <c r="E30" s="36">
        <f t="shared" si="0"/>
        <v>2.6390531358885019</v>
      </c>
      <c r="F30" s="36">
        <f t="shared" si="1"/>
        <v>28.036324003600438</v>
      </c>
      <c r="G30" s="36">
        <f t="shared" si="2"/>
        <v>72.93487804878049</v>
      </c>
      <c r="H30" s="42">
        <f t="shared" si="3"/>
        <v>1.0651219512195098</v>
      </c>
      <c r="L30" s="29"/>
    </row>
    <row r="31" spans="1:12" ht="15.75" thickBot="1" x14ac:dyDescent="0.3">
      <c r="A31" s="27">
        <v>8</v>
      </c>
      <c r="B31" s="6">
        <v>62</v>
      </c>
      <c r="C31" s="39">
        <v>0.8</v>
      </c>
      <c r="D31" s="33">
        <v>0.8</v>
      </c>
      <c r="E31" s="40">
        <f t="shared" si="0"/>
        <v>2.8002689499524869</v>
      </c>
      <c r="F31" s="40">
        <f t="shared" si="1"/>
        <v>22.12665740229944</v>
      </c>
      <c r="G31" s="40">
        <f t="shared" si="2"/>
        <v>58.05916898954704</v>
      </c>
      <c r="H31" s="43">
        <f t="shared" si="3"/>
        <v>3.9408310104529605</v>
      </c>
      <c r="L31" s="29"/>
    </row>
    <row r="32" spans="1:12" x14ac:dyDescent="0.25">
      <c r="A32" s="45">
        <v>9</v>
      </c>
      <c r="B32" s="31">
        <v>115</v>
      </c>
      <c r="C32" s="37">
        <v>0.9</v>
      </c>
      <c r="D32" s="35">
        <v>0.9</v>
      </c>
      <c r="E32" s="34">
        <f t="shared" si="0"/>
        <v>2.846337177069862</v>
      </c>
      <c r="F32" s="34">
        <f t="shared" si="1"/>
        <v>40.395550148082819</v>
      </c>
      <c r="G32" s="34">
        <f t="shared" si="2"/>
        <v>112.93561746780854</v>
      </c>
      <c r="H32" s="41">
        <f t="shared" si="3"/>
        <v>2.0643825321914591</v>
      </c>
      <c r="L32" s="29"/>
    </row>
    <row r="33" spans="1:12" x14ac:dyDescent="0.25">
      <c r="A33" s="11">
        <v>10</v>
      </c>
      <c r="B33" s="5">
        <v>88</v>
      </c>
      <c r="C33" s="38"/>
      <c r="D33" s="32"/>
      <c r="E33" s="36">
        <f t="shared" si="0"/>
        <v>2.7104603175898934</v>
      </c>
      <c r="F33" s="36">
        <f t="shared" si="1"/>
        <v>32.484995451958632</v>
      </c>
      <c r="G33" s="36">
        <f t="shared" si="2"/>
        <v>92.929108962204651</v>
      </c>
      <c r="H33" s="42">
        <f t="shared" si="3"/>
        <v>4.9291089622046513</v>
      </c>
      <c r="L33" s="29"/>
    </row>
    <row r="34" spans="1:12" x14ac:dyDescent="0.25">
      <c r="A34" s="11">
        <v>11</v>
      </c>
      <c r="B34" s="5">
        <v>78</v>
      </c>
      <c r="C34" s="38"/>
      <c r="D34" s="32"/>
      <c r="E34" s="36">
        <f t="shared" si="0"/>
        <v>2.7749406218980135</v>
      </c>
      <c r="F34" s="36">
        <f t="shared" si="1"/>
        <v>28.101471008518935</v>
      </c>
      <c r="G34" s="36">
        <f t="shared" si="2"/>
        <v>75.991343662851989</v>
      </c>
      <c r="H34" s="42">
        <f t="shared" si="3"/>
        <v>2.0086563371480111</v>
      </c>
    </row>
    <row r="35" spans="1:12" ht="15.75" thickBot="1" x14ac:dyDescent="0.3">
      <c r="A35" s="27">
        <v>12</v>
      </c>
      <c r="B35" s="6">
        <v>67</v>
      </c>
      <c r="C35" s="39"/>
      <c r="D35" s="33"/>
      <c r="E35" s="40">
        <f t="shared" si="0"/>
        <v>3.0027136425197938</v>
      </c>
      <c r="F35" s="40">
        <f t="shared" si="1"/>
        <v>22.294500766429085</v>
      </c>
      <c r="G35" s="40">
        <f t="shared" si="2"/>
        <v>61.400160452461094</v>
      </c>
      <c r="H35" s="43">
        <f t="shared" si="3"/>
        <v>5.599839547538906</v>
      </c>
    </row>
    <row r="36" spans="1:12" x14ac:dyDescent="0.25">
      <c r="A36" s="11">
        <v>13</v>
      </c>
      <c r="B36" s="5">
        <v>121</v>
      </c>
      <c r="C36" s="38"/>
      <c r="D36" s="32"/>
      <c r="E36" s="36">
        <f t="shared" si="0"/>
        <v>2.996112851762168</v>
      </c>
      <c r="F36" s="28">
        <f t="shared" si="1"/>
        <v>40.386650530903509</v>
      </c>
      <c r="G36" s="28">
        <f t="shared" si="2"/>
        <v>121.29626952674076</v>
      </c>
      <c r="H36" s="42">
        <f t="shared" si="3"/>
        <v>0.29626952674075824</v>
      </c>
    </row>
    <row r="37" spans="1:12" x14ac:dyDescent="0.25">
      <c r="A37" s="11">
        <v>14</v>
      </c>
      <c r="B37" s="5">
        <v>93</v>
      </c>
      <c r="C37" s="38"/>
      <c r="D37" s="32"/>
      <c r="E37" s="36">
        <f t="shared" si="0"/>
        <v>2.8761854492016408</v>
      </c>
      <c r="F37" s="28">
        <f t="shared" si="1"/>
        <v>32.349543785313656</v>
      </c>
      <c r="G37" s="28">
        <f t="shared" si="2"/>
        <v>97.328712363048837</v>
      </c>
      <c r="H37" s="42">
        <f t="shared" si="3"/>
        <v>4.3287123630488367</v>
      </c>
    </row>
    <row r="38" spans="1:12" x14ac:dyDescent="0.25">
      <c r="A38" s="11">
        <v>15</v>
      </c>
      <c r="B38" s="5">
        <v>84</v>
      </c>
      <c r="C38" s="38"/>
      <c r="D38" s="32"/>
      <c r="E38" s="36">
        <f t="shared" si="0"/>
        <v>2.9778691719098305</v>
      </c>
      <c r="F38" s="28">
        <f t="shared" si="1"/>
        <v>28.197427614426168</v>
      </c>
      <c r="G38" s="28">
        <f t="shared" si="2"/>
        <v>80.825042015863914</v>
      </c>
      <c r="H38" s="42">
        <f t="shared" si="3"/>
        <v>3.1749579841360855</v>
      </c>
    </row>
    <row r="39" spans="1:12" ht="15.75" thickBot="1" x14ac:dyDescent="0.3">
      <c r="A39" s="11">
        <v>16</v>
      </c>
      <c r="B39" s="5">
        <v>71</v>
      </c>
      <c r="C39" s="38"/>
      <c r="D39" s="32"/>
      <c r="E39" s="36">
        <f t="shared" si="0"/>
        <v>3.1639645755048309</v>
      </c>
      <c r="F39" s="28">
        <f t="shared" si="1"/>
        <v>22.42563068331242</v>
      </c>
      <c r="G39" s="28">
        <f t="shared" si="2"/>
        <v>66.390106535469258</v>
      </c>
      <c r="H39" s="42">
        <f t="shared" si="3"/>
        <v>4.6098934645307423</v>
      </c>
    </row>
    <row r="40" spans="1:12" x14ac:dyDescent="0.25">
      <c r="A40" s="45">
        <v>17</v>
      </c>
      <c r="B40" s="31">
        <v>128</v>
      </c>
      <c r="C40" s="37"/>
      <c r="D40" s="35"/>
      <c r="E40" s="34">
        <f t="shared" si="0"/>
        <v>3.1688241406001079</v>
      </c>
      <c r="F40" s="34">
        <f t="shared" si="1"/>
        <v>40.392844044602185</v>
      </c>
      <c r="G40" s="34">
        <f t="shared" si="2"/>
        <v>127.78193160307208</v>
      </c>
      <c r="H40" s="41">
        <f t="shared" si="3"/>
        <v>0.21806839692791868</v>
      </c>
    </row>
    <row r="41" spans="1:12" x14ac:dyDescent="0.25">
      <c r="A41" s="11">
        <v>18</v>
      </c>
      <c r="B41" s="5">
        <v>99</v>
      </c>
      <c r="C41" s="38"/>
      <c r="D41" s="32"/>
      <c r="E41" s="36">
        <f t="shared" si="0"/>
        <v>3.0711716427214188</v>
      </c>
      <c r="F41" s="36">
        <f t="shared" si="1"/>
        <v>32.246683570276225</v>
      </c>
      <c r="G41" s="36">
        <f t="shared" si="2"/>
        <v>102.51001528430211</v>
      </c>
      <c r="H41" s="42">
        <f t="shared" si="3"/>
        <v>3.5100152843021135</v>
      </c>
    </row>
    <row r="42" spans="1:12" x14ac:dyDescent="0.25">
      <c r="A42" s="11">
        <v>19</v>
      </c>
      <c r="B42" s="5">
        <v>89</v>
      </c>
      <c r="C42" s="38"/>
      <c r="D42" s="32"/>
      <c r="E42" s="36">
        <f t="shared" si="0"/>
        <v>3.1478018215853436</v>
      </c>
      <c r="F42" s="36">
        <f t="shared" si="1"/>
        <v>28.266071514012822</v>
      </c>
      <c r="G42" s="36">
        <f t="shared" si="2"/>
        <v>86.599140087115515</v>
      </c>
      <c r="H42" s="42">
        <f t="shared" si="3"/>
        <v>2.400859912884485</v>
      </c>
    </row>
    <row r="43" spans="1:12" ht="15.75" thickBot="1" x14ac:dyDescent="0.3">
      <c r="A43" s="27">
        <v>20</v>
      </c>
      <c r="B43" s="6">
        <v>77</v>
      </c>
      <c r="C43" s="39"/>
      <c r="D43" s="33"/>
      <c r="E43" s="36">
        <f t="shared" si="0"/>
        <v>3.4049942759618448</v>
      </c>
      <c r="F43" s="36">
        <f t="shared" si="1"/>
        <v>22.595020189694274</v>
      </c>
      <c r="G43" s="36">
        <f t="shared" si="2"/>
        <v>70.591441115131005</v>
      </c>
      <c r="H43" s="42">
        <f t="shared" si="3"/>
        <v>6.4085588848689952</v>
      </c>
    </row>
    <row r="44" spans="1:12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9">
        <f>AVERAGE(H34:H43)</f>
        <v>3.2555831702126854</v>
      </c>
    </row>
    <row r="45" spans="1:12" x14ac:dyDescent="0.25">
      <c r="A45" s="24"/>
      <c r="B45" s="24"/>
      <c r="C45" s="51"/>
      <c r="D45" s="51"/>
      <c r="E45" s="51"/>
      <c r="F45" s="51"/>
      <c r="G45" s="51"/>
      <c r="H45" s="51"/>
    </row>
    <row r="46" spans="1:12" ht="15.75" thickBot="1" x14ac:dyDescent="0.3"/>
    <row r="47" spans="1:12" ht="15.75" thickBot="1" x14ac:dyDescent="0.3">
      <c r="A47" s="312" t="s">
        <v>47</v>
      </c>
      <c r="B47" s="313"/>
      <c r="C47" s="313"/>
      <c r="D47" s="314"/>
      <c r="J47" s="15"/>
    </row>
    <row r="48" spans="1:12" ht="15.75" thickBot="1" x14ac:dyDescent="0.3">
      <c r="A48" s="26" t="s">
        <v>45</v>
      </c>
      <c r="B48" s="2" t="s">
        <v>46</v>
      </c>
      <c r="C48" s="4" t="s">
        <v>6</v>
      </c>
      <c r="D48" s="4" t="s">
        <v>58</v>
      </c>
    </row>
    <row r="49" spans="1:4" x14ac:dyDescent="0.25">
      <c r="A49" s="11">
        <v>0.1</v>
      </c>
      <c r="B49" s="7">
        <v>0.1</v>
      </c>
      <c r="C49" s="42">
        <v>8.7281374382268506</v>
      </c>
      <c r="D49" s="42">
        <f>MIN(C49:C129)</f>
        <v>2.1999262791018106</v>
      </c>
    </row>
    <row r="50" spans="1:4" x14ac:dyDescent="0.25">
      <c r="A50" s="11">
        <v>0.1</v>
      </c>
      <c r="B50" s="7">
        <v>0.2</v>
      </c>
      <c r="C50" s="42">
        <v>7.9341235532790559</v>
      </c>
      <c r="D50" s="42"/>
    </row>
    <row r="51" spans="1:4" x14ac:dyDescent="0.25">
      <c r="A51" s="11">
        <v>0.1</v>
      </c>
      <c r="B51" s="7">
        <v>0.3</v>
      </c>
      <c r="C51" s="42">
        <v>7.2281815955122939</v>
      </c>
      <c r="D51" s="42"/>
    </row>
    <row r="52" spans="1:4" x14ac:dyDescent="0.25">
      <c r="A52" s="11">
        <v>0.1</v>
      </c>
      <c r="B52" s="7">
        <v>0.4</v>
      </c>
      <c r="C52" s="42">
        <v>6.6040343290004078</v>
      </c>
      <c r="D52" s="42"/>
    </row>
    <row r="53" spans="1:4" x14ac:dyDescent="0.25">
      <c r="A53" s="11">
        <v>0.1</v>
      </c>
      <c r="B53" s="7">
        <v>0.5</v>
      </c>
      <c r="C53" s="42">
        <v>6.0552736366492166</v>
      </c>
      <c r="D53" s="42"/>
    </row>
    <row r="54" spans="1:4" x14ac:dyDescent="0.25">
      <c r="A54" s="11">
        <v>0.1</v>
      </c>
      <c r="B54" s="7">
        <v>0.6</v>
      </c>
      <c r="C54" s="42">
        <v>5.5754132143355495</v>
      </c>
      <c r="D54" s="42"/>
    </row>
    <row r="55" spans="1:4" x14ac:dyDescent="0.25">
      <c r="A55" s="11">
        <v>0.1</v>
      </c>
      <c r="B55" s="7">
        <v>0.7</v>
      </c>
      <c r="C55" s="42">
        <v>5.1579246748263587</v>
      </c>
      <c r="D55" s="42"/>
    </row>
    <row r="56" spans="1:4" x14ac:dyDescent="0.25">
      <c r="A56" s="11">
        <v>0.1</v>
      </c>
      <c r="B56" s="7">
        <v>0.8</v>
      </c>
      <c r="C56" s="42">
        <v>4.7962619713744044</v>
      </c>
      <c r="D56" s="42"/>
    </row>
    <row r="57" spans="1:4" x14ac:dyDescent="0.25">
      <c r="A57" s="11">
        <v>0.1</v>
      </c>
      <c r="B57" s="7">
        <v>0.9</v>
      </c>
      <c r="C57" s="42">
        <v>4.4838771940741537</v>
      </c>
      <c r="D57" s="42"/>
    </row>
    <row r="58" spans="1:4" x14ac:dyDescent="0.25">
      <c r="A58" s="11">
        <v>0.2</v>
      </c>
      <c r="B58" s="7">
        <v>0.1</v>
      </c>
      <c r="C58" s="42">
        <v>5.7824421954537328</v>
      </c>
      <c r="D58" s="42"/>
    </row>
    <row r="59" spans="1:4" x14ac:dyDescent="0.25">
      <c r="A59" s="11">
        <v>0.2</v>
      </c>
      <c r="B59" s="7">
        <v>0.2</v>
      </c>
      <c r="C59" s="42">
        <v>5.3955497061008266</v>
      </c>
      <c r="D59" s="42"/>
    </row>
    <row r="60" spans="1:4" x14ac:dyDescent="0.25">
      <c r="A60" s="11">
        <v>0.2</v>
      </c>
      <c r="B60" s="7">
        <v>0.3</v>
      </c>
      <c r="C60" s="42">
        <v>5.0463361471350074</v>
      </c>
      <c r="D60" s="42"/>
    </row>
    <row r="61" spans="1:4" x14ac:dyDescent="0.25">
      <c r="A61" s="11">
        <v>0.2</v>
      </c>
      <c r="B61" s="7">
        <v>0.4</v>
      </c>
      <c r="C61" s="42">
        <v>4.7331247549449769</v>
      </c>
      <c r="D61" s="42"/>
    </row>
    <row r="62" spans="1:4" x14ac:dyDescent="0.25">
      <c r="A62" s="11">
        <v>0.2</v>
      </c>
      <c r="B62" s="7">
        <v>0.5</v>
      </c>
      <c r="C62" s="42">
        <v>4.4539183782844223</v>
      </c>
      <c r="D62" s="42"/>
    </row>
    <row r="63" spans="1:4" x14ac:dyDescent="0.25">
      <c r="A63" s="11">
        <v>0.2</v>
      </c>
      <c r="B63" s="7">
        <v>0.6</v>
      </c>
      <c r="C63" s="42">
        <v>4.2064855133555774</v>
      </c>
      <c r="D63" s="42"/>
    </row>
    <row r="64" spans="1:4" x14ac:dyDescent="0.25">
      <c r="A64" s="11">
        <v>0.2</v>
      </c>
      <c r="B64" s="7">
        <v>0.7</v>
      </c>
      <c r="C64" s="42">
        <v>3.9884264749435574</v>
      </c>
      <c r="D64" s="42"/>
    </row>
    <row r="65" spans="1:4" x14ac:dyDescent="0.25">
      <c r="A65" s="11">
        <v>0.2</v>
      </c>
      <c r="B65" s="7">
        <v>0.8</v>
      </c>
      <c r="C65" s="42">
        <v>3.7972241945321543</v>
      </c>
      <c r="D65" s="42"/>
    </row>
    <row r="66" spans="1:4" x14ac:dyDescent="0.25">
      <c r="A66" s="11">
        <v>0.2</v>
      </c>
      <c r="B66" s="7">
        <v>0.9</v>
      </c>
      <c r="C66" s="42">
        <v>3.6302826883500479</v>
      </c>
      <c r="D66" s="42"/>
    </row>
    <row r="67" spans="1:4" x14ac:dyDescent="0.25">
      <c r="A67" s="11">
        <v>0.3</v>
      </c>
      <c r="B67" s="7">
        <v>0.1</v>
      </c>
      <c r="C67" s="42">
        <v>4.5315178888814156</v>
      </c>
      <c r="D67" s="42"/>
    </row>
    <row r="68" spans="1:4" x14ac:dyDescent="0.25">
      <c r="A68" s="11">
        <v>0.3</v>
      </c>
      <c r="B68" s="7">
        <v>0.2</v>
      </c>
      <c r="C68" s="42">
        <v>4.1449462946415938</v>
      </c>
      <c r="D68" s="42"/>
    </row>
    <row r="69" spans="1:4" x14ac:dyDescent="0.25">
      <c r="A69" s="11">
        <v>0.3</v>
      </c>
      <c r="B69" s="7">
        <v>0.3</v>
      </c>
      <c r="C69" s="42">
        <v>3.8640888807615523</v>
      </c>
      <c r="D69" s="42"/>
    </row>
    <row r="70" spans="1:4" x14ac:dyDescent="0.25">
      <c r="A70" s="11">
        <v>0.3</v>
      </c>
      <c r="B70" s="7">
        <v>0.4</v>
      </c>
      <c r="C70" s="42">
        <v>3.675003511069157</v>
      </c>
      <c r="D70" s="42"/>
    </row>
    <row r="71" spans="1:4" x14ac:dyDescent="0.25">
      <c r="A71" s="11">
        <v>0.3</v>
      </c>
      <c r="B71" s="7">
        <v>0.5</v>
      </c>
      <c r="C71" s="42">
        <v>3.5221958177863621</v>
      </c>
      <c r="D71" s="42"/>
    </row>
    <row r="72" spans="1:4" x14ac:dyDescent="0.25">
      <c r="A72" s="11">
        <v>0.3</v>
      </c>
      <c r="B72" s="7">
        <v>0.6</v>
      </c>
      <c r="C72" s="42">
        <v>3.3848952912306332</v>
      </c>
      <c r="D72" s="42"/>
    </row>
    <row r="73" spans="1:4" x14ac:dyDescent="0.25">
      <c r="A73" s="11">
        <v>0.3</v>
      </c>
      <c r="B73" s="7">
        <v>0.7</v>
      </c>
      <c r="C73" s="42">
        <v>3.2624717222490558</v>
      </c>
      <c r="D73" s="42"/>
    </row>
    <row r="74" spans="1:4" x14ac:dyDescent="0.25">
      <c r="A74" s="11">
        <v>0.3</v>
      </c>
      <c r="B74" s="7">
        <v>0.8</v>
      </c>
      <c r="C74" s="42">
        <v>3.1541414695910626</v>
      </c>
      <c r="D74" s="42"/>
    </row>
    <row r="75" spans="1:4" x14ac:dyDescent="0.25">
      <c r="A75" s="11">
        <v>0.3</v>
      </c>
      <c r="B75" s="7">
        <v>0.9</v>
      </c>
      <c r="C75" s="42">
        <v>3.0590085044902877</v>
      </c>
      <c r="D75" s="42"/>
    </row>
    <row r="76" spans="1:4" x14ac:dyDescent="0.25">
      <c r="A76" s="11">
        <v>0.4</v>
      </c>
      <c r="B76" s="7">
        <v>0.1</v>
      </c>
      <c r="C76" s="42">
        <v>4.1944769159266251</v>
      </c>
      <c r="D76" s="42"/>
    </row>
    <row r="77" spans="1:4" x14ac:dyDescent="0.25">
      <c r="A77" s="11">
        <v>0.4</v>
      </c>
      <c r="B77" s="7">
        <v>0.2</v>
      </c>
      <c r="C77" s="42">
        <v>3.7563164127163624</v>
      </c>
      <c r="D77" s="42"/>
    </row>
    <row r="78" spans="1:4" x14ac:dyDescent="0.25">
      <c r="A78" s="11">
        <v>0.4</v>
      </c>
      <c r="B78" s="7">
        <v>0.3</v>
      </c>
      <c r="C78" s="42">
        <v>3.3719767945634489</v>
      </c>
      <c r="D78" s="42"/>
    </row>
    <row r="79" spans="1:4" x14ac:dyDescent="0.25">
      <c r="A79" s="11">
        <v>0.4</v>
      </c>
      <c r="B79" s="7">
        <v>0.4</v>
      </c>
      <c r="C79" s="42">
        <v>3.1663727581986763</v>
      </c>
      <c r="D79" s="42"/>
    </row>
    <row r="80" spans="1:4" x14ac:dyDescent="0.25">
      <c r="A80" s="11">
        <v>0.4</v>
      </c>
      <c r="B80" s="7">
        <v>0.5</v>
      </c>
      <c r="C80" s="42">
        <v>2.9863911605792026</v>
      </c>
      <c r="D80" s="42"/>
    </row>
    <row r="81" spans="1:4" x14ac:dyDescent="0.25">
      <c r="A81" s="11">
        <v>0.4</v>
      </c>
      <c r="B81" s="7">
        <v>0.6</v>
      </c>
      <c r="C81" s="42">
        <v>2.8397248170884928</v>
      </c>
      <c r="D81" s="42"/>
    </row>
    <row r="82" spans="1:4" x14ac:dyDescent="0.25">
      <c r="A82" s="11">
        <v>0.4</v>
      </c>
      <c r="B82" s="7">
        <v>0.7</v>
      </c>
      <c r="C82" s="42">
        <v>2.7660563420252124</v>
      </c>
      <c r="D82" s="42"/>
    </row>
    <row r="83" spans="1:4" x14ac:dyDescent="0.25">
      <c r="A83" s="11">
        <v>0.4</v>
      </c>
      <c r="B83" s="7">
        <v>0.8</v>
      </c>
      <c r="C83" s="42">
        <v>2.7001745493598852</v>
      </c>
      <c r="D83" s="42"/>
    </row>
    <row r="84" spans="1:4" x14ac:dyDescent="0.25">
      <c r="A84" s="11">
        <v>0.4</v>
      </c>
      <c r="B84" s="7">
        <v>0.9</v>
      </c>
      <c r="C84" s="42">
        <v>2.641822366467359</v>
      </c>
      <c r="D84" s="42"/>
    </row>
    <row r="85" spans="1:4" x14ac:dyDescent="0.25">
      <c r="A85" s="11">
        <v>0.5</v>
      </c>
      <c r="B85" s="7">
        <v>0.1</v>
      </c>
      <c r="C85" s="42">
        <v>4.0432659525358732</v>
      </c>
      <c r="D85" s="42"/>
    </row>
    <row r="86" spans="1:4" x14ac:dyDescent="0.25">
      <c r="A86" s="11">
        <v>0.5</v>
      </c>
      <c r="B86" s="7">
        <v>0.2</v>
      </c>
      <c r="C86" s="42">
        <v>3.6451597795955002</v>
      </c>
      <c r="D86" s="42"/>
    </row>
    <row r="87" spans="1:4" x14ac:dyDescent="0.25">
      <c r="A87" s="11">
        <v>0.5</v>
      </c>
      <c r="B87" s="7">
        <v>0.3</v>
      </c>
      <c r="C87" s="42">
        <v>3.291797021891957</v>
      </c>
      <c r="D87" s="42"/>
    </row>
    <row r="88" spans="1:4" x14ac:dyDescent="0.25">
      <c r="A88" s="11">
        <v>0.5</v>
      </c>
      <c r="B88" s="7">
        <v>0.4</v>
      </c>
      <c r="C88" s="42">
        <v>2.9802716638899489</v>
      </c>
      <c r="D88" s="42"/>
    </row>
    <row r="89" spans="1:4" x14ac:dyDescent="0.25">
      <c r="A89" s="11">
        <v>0.5</v>
      </c>
      <c r="B89" s="7">
        <v>0.5</v>
      </c>
      <c r="C89" s="42">
        <v>2.7519298134262358</v>
      </c>
      <c r="D89" s="42"/>
    </row>
    <row r="90" spans="1:4" x14ac:dyDescent="0.25">
      <c r="A90" s="11">
        <v>0.5</v>
      </c>
      <c r="B90" s="7">
        <v>0.6</v>
      </c>
      <c r="C90" s="42">
        <v>2.6137735967230649</v>
      </c>
      <c r="D90" s="42"/>
    </row>
    <row r="91" spans="1:4" x14ac:dyDescent="0.25">
      <c r="A91" s="11">
        <v>0.5</v>
      </c>
      <c r="B91" s="7">
        <v>0.7</v>
      </c>
      <c r="C91" s="42">
        <v>2.4904111156298603</v>
      </c>
      <c r="D91" s="42"/>
    </row>
    <row r="92" spans="1:4" x14ac:dyDescent="0.25">
      <c r="A92" s="11">
        <v>0.5</v>
      </c>
      <c r="B92" s="7">
        <v>0.8</v>
      </c>
      <c r="C92" s="42">
        <v>2.3816944494524313</v>
      </c>
      <c r="D92" s="42"/>
    </row>
    <row r="93" spans="1:4" x14ac:dyDescent="0.25">
      <c r="A93" s="11">
        <v>0.5</v>
      </c>
      <c r="B93" s="7">
        <v>0.9</v>
      </c>
      <c r="C93" s="42">
        <v>2.321844423593395</v>
      </c>
      <c r="D93" s="42"/>
    </row>
    <row r="94" spans="1:4" x14ac:dyDescent="0.25">
      <c r="A94" s="11">
        <v>0.6</v>
      </c>
      <c r="B94" s="7">
        <v>0.1</v>
      </c>
      <c r="C94" s="42">
        <v>3.9916683490186471</v>
      </c>
      <c r="D94" s="42"/>
    </row>
    <row r="95" spans="1:4" x14ac:dyDescent="0.25">
      <c r="A95" s="11">
        <v>0.6</v>
      </c>
      <c r="B95" s="7">
        <v>0.2</v>
      </c>
      <c r="C95" s="42">
        <v>3.63995908174723</v>
      </c>
      <c r="D95" s="42"/>
    </row>
    <row r="96" spans="1:4" x14ac:dyDescent="0.25">
      <c r="A96" s="11">
        <v>0.6</v>
      </c>
      <c r="B96" s="7">
        <v>0.3</v>
      </c>
      <c r="C96" s="42">
        <v>3.3222804072984475</v>
      </c>
      <c r="D96" s="42"/>
    </row>
    <row r="97" spans="1:4" x14ac:dyDescent="0.25">
      <c r="A97" s="11">
        <v>0.6</v>
      </c>
      <c r="B97" s="7">
        <v>0.4</v>
      </c>
      <c r="C97" s="42">
        <v>3.0367755338443678</v>
      </c>
      <c r="D97" s="42"/>
    </row>
    <row r="98" spans="1:4" x14ac:dyDescent="0.25">
      <c r="A98" s="11">
        <v>0.6</v>
      </c>
      <c r="B98" s="7">
        <v>0.5</v>
      </c>
      <c r="C98" s="42">
        <v>2.7816198218594508</v>
      </c>
      <c r="D98" s="42"/>
    </row>
    <row r="99" spans="1:4" x14ac:dyDescent="0.25">
      <c r="A99" s="11">
        <v>0.6</v>
      </c>
      <c r="B99" s="7">
        <v>0.6</v>
      </c>
      <c r="C99" s="42">
        <v>2.5550175246890205</v>
      </c>
      <c r="D99" s="42"/>
    </row>
    <row r="100" spans="1:4" x14ac:dyDescent="0.25">
      <c r="A100" s="11">
        <v>0.6</v>
      </c>
      <c r="B100" s="7">
        <v>0.7</v>
      </c>
      <c r="C100" s="42">
        <v>2.3910524098018975</v>
      </c>
      <c r="D100" s="42"/>
    </row>
    <row r="101" spans="1:4" x14ac:dyDescent="0.25">
      <c r="A101" s="11">
        <v>0.6</v>
      </c>
      <c r="B101" s="7">
        <v>0.8</v>
      </c>
      <c r="C101" s="42">
        <v>2.2901251525984656</v>
      </c>
      <c r="D101" s="42"/>
    </row>
    <row r="102" spans="1:4" x14ac:dyDescent="0.25">
      <c r="A102" s="98">
        <v>0.6</v>
      </c>
      <c r="B102" s="95">
        <v>0.9</v>
      </c>
      <c r="C102" s="96">
        <v>2.1999262791018106</v>
      </c>
      <c r="D102" s="42"/>
    </row>
    <row r="103" spans="1:4" x14ac:dyDescent="0.25">
      <c r="A103" s="11">
        <v>0.7</v>
      </c>
      <c r="B103" s="7">
        <v>0.1</v>
      </c>
      <c r="C103" s="42">
        <v>3.9903336239902103</v>
      </c>
      <c r="D103" s="42"/>
    </row>
    <row r="104" spans="1:4" x14ac:dyDescent="0.25">
      <c r="A104" s="11">
        <v>0.7</v>
      </c>
      <c r="B104" s="7">
        <v>0.2</v>
      </c>
      <c r="C104" s="42">
        <v>3.6997451573091231</v>
      </c>
      <c r="D104" s="42"/>
    </row>
    <row r="105" spans="1:4" x14ac:dyDescent="0.25">
      <c r="A105" s="11">
        <v>0.7</v>
      </c>
      <c r="B105" s="7">
        <v>0.3</v>
      </c>
      <c r="C105" s="42">
        <v>3.4314956596868962</v>
      </c>
      <c r="D105" s="42"/>
    </row>
    <row r="106" spans="1:4" x14ac:dyDescent="0.25">
      <c r="A106" s="11">
        <v>0.7</v>
      </c>
      <c r="B106" s="7">
        <v>0.4</v>
      </c>
      <c r="C106" s="42">
        <v>3.1846355616362709</v>
      </c>
      <c r="D106" s="42"/>
    </row>
    <row r="107" spans="1:4" x14ac:dyDescent="0.25">
      <c r="A107" s="11">
        <v>0.7</v>
      </c>
      <c r="B107" s="7">
        <v>0.5</v>
      </c>
      <c r="C107" s="42">
        <v>2.9582288983797831</v>
      </c>
      <c r="D107" s="42"/>
    </row>
    <row r="108" spans="1:4" x14ac:dyDescent="0.25">
      <c r="A108" s="11">
        <v>0.7</v>
      </c>
      <c r="B108" s="7">
        <v>0.6</v>
      </c>
      <c r="C108" s="42">
        <v>2.7513522869475842</v>
      </c>
      <c r="D108" s="42"/>
    </row>
    <row r="109" spans="1:4" x14ac:dyDescent="0.25">
      <c r="A109" s="11">
        <v>0.7</v>
      </c>
      <c r="B109" s="7">
        <v>0.7</v>
      </c>
      <c r="C109" s="42">
        <v>2.5630940640791051</v>
      </c>
      <c r="D109" s="42"/>
    </row>
    <row r="110" spans="1:4" x14ac:dyDescent="0.25">
      <c r="A110" s="11">
        <v>0.7</v>
      </c>
      <c r="B110" s="7">
        <v>0.8</v>
      </c>
      <c r="C110" s="42">
        <v>2.3925535457460922</v>
      </c>
      <c r="D110" s="42"/>
    </row>
    <row r="111" spans="1:4" x14ac:dyDescent="0.25">
      <c r="A111" s="11">
        <v>0.7</v>
      </c>
      <c r="B111" s="7">
        <v>0.9</v>
      </c>
      <c r="C111" s="42">
        <v>2.2388403749952395</v>
      </c>
      <c r="D111" s="42"/>
    </row>
    <row r="112" spans="1:4" x14ac:dyDescent="0.25">
      <c r="A112" s="11">
        <v>0.8</v>
      </c>
      <c r="B112" s="7">
        <v>0.1</v>
      </c>
      <c r="C112" s="42">
        <v>4.0064087519808904</v>
      </c>
      <c r="D112" s="42"/>
    </row>
    <row r="113" spans="1:4" x14ac:dyDescent="0.25">
      <c r="A113" s="11">
        <v>0.8</v>
      </c>
      <c r="B113" s="7">
        <v>0.2</v>
      </c>
      <c r="C113" s="42">
        <v>3.7953807417675187</v>
      </c>
      <c r="D113" s="42"/>
    </row>
    <row r="114" spans="1:4" x14ac:dyDescent="0.25">
      <c r="A114" s="11">
        <v>0.8</v>
      </c>
      <c r="B114" s="7">
        <v>0.3</v>
      </c>
      <c r="C114" s="42">
        <v>3.595681784401473</v>
      </c>
      <c r="D114" s="42"/>
    </row>
    <row r="115" spans="1:4" x14ac:dyDescent="0.25">
      <c r="A115" s="11">
        <v>0.8</v>
      </c>
      <c r="B115" s="7">
        <v>0.4</v>
      </c>
      <c r="C115" s="42">
        <v>3.4069822495874846</v>
      </c>
      <c r="D115" s="42"/>
    </row>
    <row r="116" spans="1:4" x14ac:dyDescent="0.25">
      <c r="A116" s="11">
        <v>0.8</v>
      </c>
      <c r="B116" s="7">
        <v>0.5</v>
      </c>
      <c r="C116" s="42">
        <v>3.2289557930510759</v>
      </c>
      <c r="D116" s="42"/>
    </row>
    <row r="117" spans="1:4" x14ac:dyDescent="0.25">
      <c r="A117" s="11">
        <v>0.8</v>
      </c>
      <c r="B117" s="7">
        <v>0.6</v>
      </c>
      <c r="C117" s="42">
        <v>3.0612792103435185</v>
      </c>
      <c r="D117" s="42"/>
    </row>
    <row r="118" spans="1:4" x14ac:dyDescent="0.25">
      <c r="A118" s="11">
        <v>0.8</v>
      </c>
      <c r="B118" s="7">
        <v>0.7</v>
      </c>
      <c r="C118" s="42">
        <v>2.9036323117172929</v>
      </c>
      <c r="D118" s="42"/>
    </row>
    <row r="119" spans="1:4" x14ac:dyDescent="0.25">
      <c r="A119" s="11">
        <v>0.8</v>
      </c>
      <c r="B119" s="7">
        <v>0.8</v>
      </c>
      <c r="C119" s="42">
        <v>2.7556978139385437</v>
      </c>
      <c r="D119" s="42"/>
    </row>
    <row r="120" spans="1:4" x14ac:dyDescent="0.25">
      <c r="A120" s="11">
        <v>0.8</v>
      </c>
      <c r="B120" s="7">
        <v>0.9</v>
      </c>
      <c r="C120" s="42">
        <v>2.6171612453091995</v>
      </c>
      <c r="D120" s="42"/>
    </row>
    <row r="121" spans="1:4" x14ac:dyDescent="0.25">
      <c r="A121" s="11">
        <v>0.9</v>
      </c>
      <c r="B121" s="7">
        <v>0.1</v>
      </c>
      <c r="C121" s="42">
        <v>4.0349731019739883</v>
      </c>
      <c r="D121" s="42"/>
    </row>
    <row r="122" spans="1:4" x14ac:dyDescent="0.25">
      <c r="A122" s="11">
        <v>0.9</v>
      </c>
      <c r="B122" s="7">
        <v>0.2</v>
      </c>
      <c r="C122" s="42">
        <v>3.9155066519303015</v>
      </c>
      <c r="D122" s="42"/>
    </row>
    <row r="123" spans="1:4" x14ac:dyDescent="0.25">
      <c r="A123" s="11">
        <v>0.9</v>
      </c>
      <c r="B123" s="7">
        <v>0.3</v>
      </c>
      <c r="C123" s="42">
        <v>3.7987284921071565</v>
      </c>
      <c r="D123" s="42"/>
    </row>
    <row r="124" spans="1:4" x14ac:dyDescent="0.25">
      <c r="A124" s="11">
        <v>0.9</v>
      </c>
      <c r="B124" s="7">
        <v>0.4</v>
      </c>
      <c r="C124" s="42">
        <v>3.6883205095741616</v>
      </c>
      <c r="D124" s="42"/>
    </row>
    <row r="125" spans="1:4" x14ac:dyDescent="0.25">
      <c r="A125" s="11">
        <v>0.9</v>
      </c>
      <c r="B125" s="7">
        <v>0.5</v>
      </c>
      <c r="C125" s="42">
        <v>3.5967003805747977</v>
      </c>
      <c r="D125" s="42"/>
    </row>
    <row r="126" spans="1:4" x14ac:dyDescent="0.25">
      <c r="A126" s="11">
        <v>0.9</v>
      </c>
      <c r="B126" s="7">
        <v>0.6</v>
      </c>
      <c r="C126" s="42">
        <v>3.5076625787371967</v>
      </c>
      <c r="D126" s="42"/>
    </row>
    <row r="127" spans="1:4" x14ac:dyDescent="0.25">
      <c r="A127" s="11">
        <v>0.9</v>
      </c>
      <c r="B127" s="7">
        <v>0.7</v>
      </c>
      <c r="C127" s="42">
        <v>3.4211610062884739</v>
      </c>
      <c r="D127" s="42"/>
    </row>
    <row r="128" spans="1:4" x14ac:dyDescent="0.25">
      <c r="A128" s="11">
        <v>0.9</v>
      </c>
      <c r="B128" s="7">
        <v>0.8</v>
      </c>
      <c r="C128" s="42">
        <v>3.3371497681716917</v>
      </c>
      <c r="D128" s="42"/>
    </row>
    <row r="129" spans="1:4" ht="15.75" thickBot="1" x14ac:dyDescent="0.3">
      <c r="A129" s="27">
        <v>0.9</v>
      </c>
      <c r="B129" s="9">
        <v>0.9</v>
      </c>
      <c r="C129" s="43">
        <v>3.2555831702126854</v>
      </c>
      <c r="D129" s="43"/>
    </row>
  </sheetData>
  <mergeCells count="3">
    <mergeCell ref="A44:B44"/>
    <mergeCell ref="A47:D47"/>
    <mergeCell ref="A22:H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sonalityonly">
                <anchor moveWithCells="1" sizeWithCells="1">
                  <from>
                    <xdr:col>5</xdr:col>
                    <xdr:colOff>714375</xdr:colOff>
                    <xdr:row>17</xdr:row>
                    <xdr:rowOff>190500</xdr:rowOff>
                  </from>
                  <to>
                    <xdr:col>7</xdr:col>
                    <xdr:colOff>1123950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AC5-C128-4A70-B0ED-950002111DD2}">
  <sheetPr codeName="Sheet12"/>
  <dimension ref="A1:V779"/>
  <sheetViews>
    <sheetView zoomScale="85" zoomScaleNormal="85" workbookViewId="0">
      <selection activeCell="M18" sqref="M18"/>
    </sheetView>
  </sheetViews>
  <sheetFormatPr defaultColWidth="11.140625" defaultRowHeight="15" x14ac:dyDescent="0.25"/>
  <cols>
    <col min="1" max="1" width="15" style="1" bestFit="1" customWidth="1"/>
    <col min="2" max="9" width="11.140625" style="1"/>
    <col min="10" max="11" width="18.42578125" style="1" bestFit="1" customWidth="1"/>
    <col min="12" max="16384" width="11.140625" style="1"/>
  </cols>
  <sheetData>
    <row r="1" spans="1:2" ht="15.75" thickBot="1" x14ac:dyDescent="0.3">
      <c r="A1" s="60" t="s">
        <v>0</v>
      </c>
      <c r="B1" s="60" t="s">
        <v>3</v>
      </c>
    </row>
    <row r="2" spans="1:2" x14ac:dyDescent="0.25">
      <c r="A2" s="5">
        <v>1</v>
      </c>
      <c r="B2" s="5">
        <v>100</v>
      </c>
    </row>
    <row r="3" spans="1:2" x14ac:dyDescent="0.25">
      <c r="A3" s="5">
        <v>2</v>
      </c>
      <c r="B3" s="5">
        <v>82</v>
      </c>
    </row>
    <row r="4" spans="1:2" x14ac:dyDescent="0.25">
      <c r="A4" s="5">
        <v>3</v>
      </c>
      <c r="B4" s="5">
        <v>70</v>
      </c>
    </row>
    <row r="5" spans="1:2" x14ac:dyDescent="0.25">
      <c r="A5" s="5">
        <v>4</v>
      </c>
      <c r="B5" s="5">
        <v>55</v>
      </c>
    </row>
    <row r="6" spans="1:2" x14ac:dyDescent="0.25">
      <c r="A6" s="5">
        <v>5</v>
      </c>
      <c r="B6" s="5">
        <v>110</v>
      </c>
    </row>
    <row r="7" spans="1:2" x14ac:dyDescent="0.25">
      <c r="A7" s="5">
        <v>6</v>
      </c>
      <c r="B7" s="5">
        <v>85</v>
      </c>
    </row>
    <row r="8" spans="1:2" x14ac:dyDescent="0.25">
      <c r="A8" s="5">
        <v>7</v>
      </c>
      <c r="B8" s="5">
        <v>74</v>
      </c>
    </row>
    <row r="9" spans="1:2" x14ac:dyDescent="0.25">
      <c r="A9" s="5">
        <v>8</v>
      </c>
      <c r="B9" s="5">
        <v>62</v>
      </c>
    </row>
    <row r="10" spans="1:2" x14ac:dyDescent="0.25">
      <c r="A10" s="5">
        <v>9</v>
      </c>
      <c r="B10" s="5">
        <v>115</v>
      </c>
    </row>
    <row r="11" spans="1:2" x14ac:dyDescent="0.25">
      <c r="A11" s="5">
        <v>10</v>
      </c>
      <c r="B11" s="5">
        <v>88</v>
      </c>
    </row>
    <row r="12" spans="1:2" x14ac:dyDescent="0.25">
      <c r="A12" s="5">
        <v>11</v>
      </c>
      <c r="B12" s="5">
        <v>78</v>
      </c>
    </row>
    <row r="13" spans="1:2" x14ac:dyDescent="0.25">
      <c r="A13" s="5">
        <v>12</v>
      </c>
      <c r="B13" s="5">
        <v>67</v>
      </c>
    </row>
    <row r="14" spans="1:2" x14ac:dyDescent="0.25">
      <c r="A14" s="5">
        <v>13</v>
      </c>
      <c r="B14" s="5">
        <v>121</v>
      </c>
    </row>
    <row r="15" spans="1:2" x14ac:dyDescent="0.25">
      <c r="A15" s="5">
        <v>14</v>
      </c>
      <c r="B15" s="5">
        <v>93</v>
      </c>
    </row>
    <row r="16" spans="1:2" x14ac:dyDescent="0.25">
      <c r="A16" s="5">
        <v>15</v>
      </c>
      <c r="B16" s="5">
        <v>84</v>
      </c>
    </row>
    <row r="17" spans="1:22" x14ac:dyDescent="0.25">
      <c r="A17" s="5">
        <v>16</v>
      </c>
      <c r="B17" s="5">
        <v>71</v>
      </c>
    </row>
    <row r="18" spans="1:22" ht="15.75" thickBot="1" x14ac:dyDescent="0.3">
      <c r="A18" s="5">
        <v>17</v>
      </c>
      <c r="B18" s="5">
        <v>128</v>
      </c>
    </row>
    <row r="19" spans="1:22" ht="15.75" thickBot="1" x14ac:dyDescent="0.3">
      <c r="A19" s="5">
        <v>18</v>
      </c>
      <c r="B19" s="5">
        <v>99</v>
      </c>
      <c r="D19" s="83" t="s">
        <v>45</v>
      </c>
      <c r="E19" s="84" t="s">
        <v>46</v>
      </c>
      <c r="F19" s="100" t="s">
        <v>48</v>
      </c>
    </row>
    <row r="20" spans="1:22" ht="15.75" thickBot="1" x14ac:dyDescent="0.3">
      <c r="A20" s="5">
        <v>19</v>
      </c>
      <c r="B20" s="5">
        <v>89</v>
      </c>
      <c r="D20" s="127">
        <v>0.1</v>
      </c>
      <c r="E20" s="128">
        <v>0.2</v>
      </c>
      <c r="F20" s="132">
        <v>0.8</v>
      </c>
    </row>
    <row r="21" spans="1:22" ht="15.75" thickBot="1" x14ac:dyDescent="0.3">
      <c r="A21" s="5">
        <v>20</v>
      </c>
      <c r="B21" s="5">
        <v>77</v>
      </c>
    </row>
    <row r="22" spans="1:22" ht="15.75" thickBot="1" x14ac:dyDescent="0.3">
      <c r="A22" s="312" t="s">
        <v>61</v>
      </c>
      <c r="B22" s="313"/>
      <c r="C22" s="313"/>
      <c r="D22" s="313"/>
      <c r="E22" s="313"/>
      <c r="F22" s="313"/>
      <c r="G22" s="313"/>
      <c r="H22" s="313"/>
      <c r="I22" s="313"/>
      <c r="J22" s="314"/>
    </row>
    <row r="23" spans="1:22" ht="15.75" thickBot="1" x14ac:dyDescent="0.3">
      <c r="A23" s="4" t="s">
        <v>0</v>
      </c>
      <c r="B23" s="4" t="s">
        <v>2</v>
      </c>
      <c r="C23" s="26" t="s">
        <v>45</v>
      </c>
      <c r="D23" s="4" t="s">
        <v>46</v>
      </c>
      <c r="E23" s="44" t="s">
        <v>48</v>
      </c>
      <c r="F23" s="2" t="s">
        <v>51</v>
      </c>
      <c r="G23" s="2" t="s">
        <v>50</v>
      </c>
      <c r="H23" s="2" t="s">
        <v>52</v>
      </c>
      <c r="I23" s="3" t="s">
        <v>42</v>
      </c>
      <c r="J23" s="4" t="s">
        <v>33</v>
      </c>
      <c r="U23" s="45">
        <v>100</v>
      </c>
      <c r="V23" s="35" t="s">
        <v>34</v>
      </c>
    </row>
    <row r="24" spans="1:22" x14ac:dyDescent="0.25">
      <c r="A24" s="31">
        <v>1</v>
      </c>
      <c r="B24" s="31">
        <v>100</v>
      </c>
      <c r="C24" s="37">
        <v>0.1</v>
      </c>
      <c r="D24" s="34">
        <v>0.1</v>
      </c>
      <c r="E24" s="35">
        <v>0.1</v>
      </c>
      <c r="F24" s="37" t="s">
        <v>34</v>
      </c>
      <c r="G24" s="34" t="s">
        <v>34</v>
      </c>
      <c r="H24" s="34">
        <f>B24/AVERAGE(B24:B27)</f>
        <v>1.3029315960912051</v>
      </c>
      <c r="I24" s="34" t="s">
        <v>34</v>
      </c>
      <c r="J24" s="41" t="s">
        <v>34</v>
      </c>
      <c r="K24" s="28"/>
      <c r="U24" s="11">
        <v>82</v>
      </c>
      <c r="V24" s="32" t="s">
        <v>34</v>
      </c>
    </row>
    <row r="25" spans="1:22" x14ac:dyDescent="0.25">
      <c r="A25" s="5">
        <v>2</v>
      </c>
      <c r="B25" s="5">
        <v>82</v>
      </c>
      <c r="C25" s="38">
        <v>0.2</v>
      </c>
      <c r="D25" s="36">
        <v>0.2</v>
      </c>
      <c r="E25" s="32">
        <v>0.2</v>
      </c>
      <c r="F25" s="38" t="s">
        <v>34</v>
      </c>
      <c r="G25" s="36" t="s">
        <v>34</v>
      </c>
      <c r="H25" s="36">
        <f>B25/AVERAGE(B25:B28)</f>
        <v>1.0347003154574133</v>
      </c>
      <c r="I25" s="36" t="s">
        <v>34</v>
      </c>
      <c r="J25" s="42" t="s">
        <v>34</v>
      </c>
      <c r="U25" s="11">
        <v>70</v>
      </c>
      <c r="V25" s="32" t="s">
        <v>34</v>
      </c>
    </row>
    <row r="26" spans="1:22" x14ac:dyDescent="0.25">
      <c r="A26" s="5">
        <v>3</v>
      </c>
      <c r="B26" s="5">
        <v>70</v>
      </c>
      <c r="C26" s="38">
        <v>0.3</v>
      </c>
      <c r="D26" s="36">
        <v>0.3</v>
      </c>
      <c r="E26" s="32">
        <v>0.3</v>
      </c>
      <c r="F26" s="38" t="s">
        <v>34</v>
      </c>
      <c r="G26" s="36" t="s">
        <v>34</v>
      </c>
      <c r="H26" s="36">
        <f>B26/AVERAGE(B26:B29)</f>
        <v>0.875</v>
      </c>
      <c r="I26" s="36" t="s">
        <v>34</v>
      </c>
      <c r="J26" s="42" t="s">
        <v>34</v>
      </c>
      <c r="K26" s="29"/>
      <c r="U26" s="11">
        <v>55</v>
      </c>
      <c r="V26" s="32" t="s">
        <v>34</v>
      </c>
    </row>
    <row r="27" spans="1:22" ht="15.75" thickBot="1" x14ac:dyDescent="0.3">
      <c r="A27" s="6">
        <v>4</v>
      </c>
      <c r="B27" s="6">
        <v>55</v>
      </c>
      <c r="C27" s="39">
        <v>0.4</v>
      </c>
      <c r="D27" s="40">
        <v>0.4</v>
      </c>
      <c r="E27" s="33">
        <v>0.4</v>
      </c>
      <c r="F27" s="38">
        <f>AVERAGE(B24:B27)</f>
        <v>76.75</v>
      </c>
      <c r="G27" s="36">
        <f>SLOPE(B24:B43,A24:A43)</f>
        <v>0.67819548872180446</v>
      </c>
      <c r="H27" s="36">
        <f>B27/AVERAGE(B27:B30)</f>
        <v>0.67901234567901236</v>
      </c>
      <c r="I27" s="36" t="s">
        <v>34</v>
      </c>
      <c r="J27" s="43" t="s">
        <v>34</v>
      </c>
      <c r="K27" s="29"/>
      <c r="U27" s="11">
        <v>110</v>
      </c>
      <c r="V27" s="32">
        <v>100.88364233058213</v>
      </c>
    </row>
    <row r="28" spans="1:22" x14ac:dyDescent="0.25">
      <c r="A28" s="31">
        <v>5</v>
      </c>
      <c r="B28" s="31">
        <v>110</v>
      </c>
      <c r="C28" s="37">
        <v>0.5</v>
      </c>
      <c r="D28" s="34">
        <v>0.5</v>
      </c>
      <c r="E28" s="34">
        <v>0.5</v>
      </c>
      <c r="F28" s="37">
        <f>(($D$20*(B28/H24))+((1-$D$20)*(F27+G27)))</f>
        <v>78.127875939849616</v>
      </c>
      <c r="G28" s="34">
        <f>(($E$20*(F28-F27))+((1-$E$20)*G27))</f>
        <v>0.81813157894736688</v>
      </c>
      <c r="H28" s="34">
        <f>($F$20*(B28/F28))+((1-$F$20)*(H24))</f>
        <v>1.3869448556739217</v>
      </c>
      <c r="I28" s="34">
        <f>(F27+G27*1)*H24</f>
        <v>100.88364233058213</v>
      </c>
      <c r="J28" s="41">
        <f>ABS(B28-I28)</f>
        <v>9.1163576694178658</v>
      </c>
      <c r="K28" s="29"/>
      <c r="U28" s="11">
        <v>85</v>
      </c>
      <c r="V28" s="32">
        <v>81.685458883802568</v>
      </c>
    </row>
    <row r="29" spans="1:22" x14ac:dyDescent="0.25">
      <c r="A29" s="5">
        <v>6</v>
      </c>
      <c r="B29" s="5">
        <v>85</v>
      </c>
      <c r="C29" s="38">
        <v>0.6</v>
      </c>
      <c r="D29" s="36">
        <v>0.6</v>
      </c>
      <c r="E29" s="36">
        <v>0.6</v>
      </c>
      <c r="F29" s="38">
        <f t="shared" ref="F29:F43" si="0">(($D$20*(B29/H25))+((1-$D$20)*(F28+G28)))</f>
        <v>79.266345791307543</v>
      </c>
      <c r="G29" s="36">
        <f t="shared" ref="G29:G43" si="1">(($E$20*(F29-F28))+((1-$E$20)*G28))</f>
        <v>0.88219923344947904</v>
      </c>
      <c r="H29" s="36">
        <f t="shared" ref="H29:H43" si="2">($F$20*(B29/F29))+((1-$F$20)*(H25))</f>
        <v>1.0648072868314342</v>
      </c>
      <c r="I29" s="36">
        <f t="shared" ref="I29:I43" si="3">(F28+G28*1)*H25</f>
        <v>81.685458883802568</v>
      </c>
      <c r="J29" s="42">
        <f t="shared" ref="J29:J43" si="4">ABS(B29-I29)</f>
        <v>3.3145411161974323</v>
      </c>
      <c r="K29" s="29"/>
      <c r="U29" s="11">
        <v>74</v>
      </c>
      <c r="V29" s="32">
        <v>70.129976896662399</v>
      </c>
    </row>
    <row r="30" spans="1:22" x14ac:dyDescent="0.25">
      <c r="A30" s="5">
        <v>7</v>
      </c>
      <c r="B30" s="5">
        <v>74</v>
      </c>
      <c r="C30" s="38">
        <v>0.7</v>
      </c>
      <c r="D30" s="36">
        <v>0.7</v>
      </c>
      <c r="E30" s="36">
        <v>0.7</v>
      </c>
      <c r="F30" s="38">
        <f t="shared" si="0"/>
        <v>80.590833379424183</v>
      </c>
      <c r="G30" s="36">
        <f t="shared" si="1"/>
        <v>0.97065690438291119</v>
      </c>
      <c r="H30" s="36">
        <f t="shared" si="2"/>
        <v>0.90957485817629569</v>
      </c>
      <c r="I30" s="36">
        <f t="shared" si="3"/>
        <v>70.129976896662399</v>
      </c>
      <c r="J30" s="42">
        <f t="shared" si="4"/>
        <v>3.8700231033376014</v>
      </c>
      <c r="K30" s="29"/>
      <c r="U30" s="11">
        <v>62</v>
      </c>
      <c r="V30" s="32">
        <v>55.381258834683827</v>
      </c>
    </row>
    <row r="31" spans="1:22" ht="15.75" thickBot="1" x14ac:dyDescent="0.3">
      <c r="A31" s="6">
        <v>8</v>
      </c>
      <c r="B31" s="6">
        <v>62</v>
      </c>
      <c r="C31" s="39">
        <v>0.8</v>
      </c>
      <c r="D31" s="40">
        <v>0.8</v>
      </c>
      <c r="E31" s="40">
        <v>0.8</v>
      </c>
      <c r="F31" s="38">
        <f t="shared" si="0"/>
        <v>82.536250346335464</v>
      </c>
      <c r="G31" s="36">
        <f t="shared" si="1"/>
        <v>1.1656089168885853</v>
      </c>
      <c r="H31" s="36">
        <f t="shared" si="2"/>
        <v>0.73675053488715858</v>
      </c>
      <c r="I31" s="36">
        <f t="shared" si="3"/>
        <v>55.381258834683827</v>
      </c>
      <c r="J31" s="42">
        <f t="shared" si="4"/>
        <v>6.6187411653161732</v>
      </c>
      <c r="K31" s="29"/>
      <c r="N31" s="29"/>
      <c r="U31" s="11">
        <v>115</v>
      </c>
      <c r="V31" s="32">
        <v>116.08986311547119</v>
      </c>
    </row>
    <row r="32" spans="1:22" x14ac:dyDescent="0.25">
      <c r="A32" s="31">
        <v>9</v>
      </c>
      <c r="B32" s="31">
        <v>115</v>
      </c>
      <c r="C32" s="34">
        <v>0.9</v>
      </c>
      <c r="D32" s="34">
        <v>0.9</v>
      </c>
      <c r="E32" s="34">
        <v>0.9</v>
      </c>
      <c r="F32" s="37">
        <f t="shared" si="0"/>
        <v>83.62327912999001</v>
      </c>
      <c r="G32" s="34">
        <f t="shared" si="1"/>
        <v>1.1498928902417773</v>
      </c>
      <c r="H32" s="34">
        <f t="shared" si="2"/>
        <v>1.3775610877649946</v>
      </c>
      <c r="I32" s="34">
        <f t="shared" si="3"/>
        <v>116.08986311547119</v>
      </c>
      <c r="J32" s="41">
        <f t="shared" si="4"/>
        <v>1.0898631154711893</v>
      </c>
      <c r="K32" s="29"/>
      <c r="N32" s="29"/>
      <c r="U32" s="11">
        <v>88</v>
      </c>
      <c r="V32" s="32">
        <v>90.267091294957453</v>
      </c>
    </row>
    <row r="33" spans="1:22" x14ac:dyDescent="0.25">
      <c r="A33" s="5">
        <v>10</v>
      </c>
      <c r="B33" s="5">
        <v>88</v>
      </c>
      <c r="C33" s="36"/>
      <c r="D33" s="36"/>
      <c r="E33" s="36"/>
      <c r="F33" s="38">
        <f t="shared" si="0"/>
        <v>84.560261071650316</v>
      </c>
      <c r="G33" s="36">
        <f t="shared" si="1"/>
        <v>1.1073107005254832</v>
      </c>
      <c r="H33" s="36">
        <f t="shared" si="2"/>
        <v>1.0455038254692908</v>
      </c>
      <c r="I33" s="36">
        <f t="shared" si="3"/>
        <v>90.267091294957453</v>
      </c>
      <c r="J33" s="42">
        <f t="shared" si="4"/>
        <v>2.2670912949574529</v>
      </c>
      <c r="K33" s="29"/>
      <c r="N33" s="29"/>
      <c r="U33" s="11">
        <v>78</v>
      </c>
      <c r="V33" s="32">
        <v>77.92106944498444</v>
      </c>
    </row>
    <row r="34" spans="1:22" x14ac:dyDescent="0.25">
      <c r="A34" s="5">
        <v>11</v>
      </c>
      <c r="B34" s="5">
        <v>78</v>
      </c>
      <c r="C34" s="36"/>
      <c r="D34" s="36"/>
      <c r="E34" s="36"/>
      <c r="F34" s="38">
        <f t="shared" si="0"/>
        <v>85.676249513683942</v>
      </c>
      <c r="G34" s="36">
        <f t="shared" si="1"/>
        <v>1.1090462488271118</v>
      </c>
      <c r="H34" s="36">
        <f t="shared" si="2"/>
        <v>0.91023816918645051</v>
      </c>
      <c r="I34" s="36">
        <f t="shared" si="3"/>
        <v>77.92106944498444</v>
      </c>
      <c r="J34" s="42">
        <f t="shared" si="4"/>
        <v>7.8930555015560344E-2</v>
      </c>
      <c r="K34" s="29"/>
      <c r="U34" s="11">
        <v>67</v>
      </c>
      <c r="V34" s="32">
        <v>63.939113073370279</v>
      </c>
    </row>
    <row r="35" spans="1:22" ht="15.75" thickBot="1" x14ac:dyDescent="0.3">
      <c r="A35" s="6">
        <v>12</v>
      </c>
      <c r="B35" s="6">
        <v>67</v>
      </c>
      <c r="C35" s="40"/>
      <c r="D35" s="40"/>
      <c r="E35" s="40"/>
      <c r="F35" s="39">
        <f t="shared" si="0"/>
        <v>87.200753476036638</v>
      </c>
      <c r="G35" s="40">
        <f t="shared" si="1"/>
        <v>1.1921377915322289</v>
      </c>
      <c r="H35" s="40">
        <f t="shared" si="2"/>
        <v>0.76202369480061094</v>
      </c>
      <c r="I35" s="40">
        <f t="shared" si="3"/>
        <v>63.939113073370279</v>
      </c>
      <c r="J35" s="42">
        <f t="shared" si="4"/>
        <v>3.0608869266297205</v>
      </c>
      <c r="K35" s="29"/>
      <c r="U35" s="11">
        <v>121</v>
      </c>
      <c r="V35" s="32">
        <v>121.76660744524507</v>
      </c>
    </row>
    <row r="36" spans="1:22" x14ac:dyDescent="0.25">
      <c r="A36" s="31">
        <v>13</v>
      </c>
      <c r="B36" s="31">
        <v>121</v>
      </c>
      <c r="C36" s="34"/>
      <c r="D36" s="34"/>
      <c r="E36" s="34"/>
      <c r="F36" s="38">
        <f t="shared" si="0"/>
        <v>88.337241652313793</v>
      </c>
      <c r="G36" s="36">
        <f t="shared" si="1"/>
        <v>1.1810078684812142</v>
      </c>
      <c r="H36" s="36">
        <f t="shared" si="2"/>
        <v>1.3713127903283493</v>
      </c>
      <c r="I36" s="36">
        <f t="shared" si="3"/>
        <v>121.76660744524507</v>
      </c>
      <c r="J36" s="41">
        <f t="shared" si="4"/>
        <v>0.76660744524507152</v>
      </c>
      <c r="K36" s="29"/>
      <c r="N36" s="73" t="s">
        <v>50</v>
      </c>
      <c r="O36" s="74">
        <f>G43</f>
        <v>1.309315962940893</v>
      </c>
      <c r="U36" s="11">
        <v>93</v>
      </c>
      <c r="V36" s="32">
        <v>93.591672323305687</v>
      </c>
    </row>
    <row r="37" spans="1:22" ht="15.75" thickBot="1" x14ac:dyDescent="0.3">
      <c r="A37" s="5">
        <v>14</v>
      </c>
      <c r="B37" s="5">
        <v>93</v>
      </c>
      <c r="C37" s="36"/>
      <c r="D37" s="36"/>
      <c r="E37" s="36"/>
      <c r="F37" s="38">
        <f t="shared" si="0"/>
        <v>89.461657444430287</v>
      </c>
      <c r="G37" s="36">
        <f t="shared" si="1"/>
        <v>1.1696894532082702</v>
      </c>
      <c r="H37" s="36">
        <f t="shared" si="2"/>
        <v>1.0407419634051465</v>
      </c>
      <c r="I37" s="36">
        <f t="shared" si="3"/>
        <v>93.591672323305687</v>
      </c>
      <c r="J37" s="42">
        <f t="shared" si="4"/>
        <v>0.59167232330568709</v>
      </c>
      <c r="K37" s="29"/>
      <c r="N37" s="75" t="s">
        <v>51</v>
      </c>
      <c r="O37" s="76">
        <f>F43</f>
        <v>97.472170080547869</v>
      </c>
      <c r="U37" s="11">
        <v>84</v>
      </c>
      <c r="V37" s="32">
        <v>82.496111271008601</v>
      </c>
    </row>
    <row r="38" spans="1:22" ht="15.75" thickBot="1" x14ac:dyDescent="0.3">
      <c r="A38" s="5">
        <v>15</v>
      </c>
      <c r="B38" s="5">
        <v>84</v>
      </c>
      <c r="C38" s="36"/>
      <c r="D38" s="36"/>
      <c r="E38" s="36"/>
      <c r="F38" s="38">
        <f t="shared" si="0"/>
        <v>90.796566153422503</v>
      </c>
      <c r="G38" s="36">
        <f t="shared" si="1"/>
        <v>1.2027333043650594</v>
      </c>
      <c r="H38" s="36">
        <f t="shared" si="2"/>
        <v>0.92216372904786814</v>
      </c>
      <c r="I38" s="36">
        <f t="shared" si="3"/>
        <v>82.496111271008601</v>
      </c>
      <c r="J38" s="42">
        <f t="shared" si="4"/>
        <v>1.5038887289913987</v>
      </c>
      <c r="K38" s="29"/>
      <c r="U38" s="11">
        <v>71</v>
      </c>
      <c r="V38" s="32">
        <v>70.105646091891117</v>
      </c>
    </row>
    <row r="39" spans="1:22" ht="15.75" thickBot="1" x14ac:dyDescent="0.3">
      <c r="A39" s="6">
        <v>16</v>
      </c>
      <c r="B39" s="6">
        <v>71</v>
      </c>
      <c r="C39" s="40"/>
      <c r="D39" s="40"/>
      <c r="E39" s="40"/>
      <c r="F39" s="39">
        <f t="shared" si="0"/>
        <v>92.116665087519451</v>
      </c>
      <c r="G39" s="40">
        <f t="shared" si="1"/>
        <v>1.2262064303114371</v>
      </c>
      <c r="H39" s="40">
        <f t="shared" si="2"/>
        <v>0.76901412170356709</v>
      </c>
      <c r="I39" s="40">
        <f t="shared" si="3"/>
        <v>70.105646091891117</v>
      </c>
      <c r="J39" s="42">
        <f t="shared" si="4"/>
        <v>0.89435390810888293</v>
      </c>
      <c r="K39" s="60" t="s">
        <v>62</v>
      </c>
      <c r="M39" s="70" t="s">
        <v>55</v>
      </c>
      <c r="N39" s="71" t="s">
        <v>54</v>
      </c>
      <c r="O39" s="72" t="s">
        <v>42</v>
      </c>
      <c r="U39" s="11">
        <v>128</v>
      </c>
      <c r="V39" s="32">
        <v>128.00227359837729</v>
      </c>
    </row>
    <row r="40" spans="1:22" x14ac:dyDescent="0.25">
      <c r="A40" s="5">
        <v>17</v>
      </c>
      <c r="B40" s="31">
        <v>128</v>
      </c>
      <c r="C40" s="34"/>
      <c r="D40" s="34"/>
      <c r="E40" s="34"/>
      <c r="F40" s="38">
        <f t="shared" si="0"/>
        <v>93.342705720618653</v>
      </c>
      <c r="G40" s="36">
        <f t="shared" si="1"/>
        <v>1.2261732708689903</v>
      </c>
      <c r="H40" s="36">
        <f t="shared" si="2"/>
        <v>1.3712952529019482</v>
      </c>
      <c r="I40" s="36">
        <f t="shared" si="3"/>
        <v>128.00227359837729</v>
      </c>
      <c r="J40" s="41">
        <f t="shared" si="4"/>
        <v>2.2735983772861346E-3</v>
      </c>
      <c r="K40" s="31">
        <f>H40*(4/SUM($H$40:$H$43))</f>
        <v>1.3284911070082326</v>
      </c>
      <c r="M40" s="67">
        <v>21</v>
      </c>
      <c r="N40" s="68">
        <v>1</v>
      </c>
      <c r="O40" s="69">
        <f>($O$37+N40*$O$36)*K40</f>
        <v>131.23032574583266</v>
      </c>
      <c r="U40" s="11">
        <v>99</v>
      </c>
      <c r="V40" s="32">
        <v>98.421800798624545</v>
      </c>
    </row>
    <row r="41" spans="1:22" x14ac:dyDescent="0.25">
      <c r="A41" s="5">
        <v>18</v>
      </c>
      <c r="B41" s="5">
        <v>99</v>
      </c>
      <c r="C41" s="36"/>
      <c r="D41" s="36"/>
      <c r="E41" s="36"/>
      <c r="F41" s="38">
        <f t="shared" si="0"/>
        <v>94.624435433113533</v>
      </c>
      <c r="G41" s="36">
        <f t="shared" si="1"/>
        <v>1.2372845591941681</v>
      </c>
      <c r="H41" s="36">
        <f t="shared" si="2"/>
        <v>1.0451414974481747</v>
      </c>
      <c r="I41" s="36">
        <f t="shared" si="3"/>
        <v>98.421800798624545</v>
      </c>
      <c r="J41" s="42">
        <f t="shared" si="4"/>
        <v>0.57819920137545466</v>
      </c>
      <c r="K41" s="5">
        <f>H41*(4/SUM($H$40:$H$43))</f>
        <v>1.0125180423303388</v>
      </c>
      <c r="M41" s="62">
        <v>22</v>
      </c>
      <c r="N41" s="57">
        <v>2</v>
      </c>
      <c r="O41" s="63">
        <f>($O$37+N41*$O$36)*K41</f>
        <v>101.34374290282371</v>
      </c>
      <c r="U41" s="11">
        <v>89</v>
      </c>
      <c r="V41" s="32">
        <v>88.400201181049042</v>
      </c>
    </row>
    <row r="42" spans="1:22" x14ac:dyDescent="0.25">
      <c r="A42" s="5">
        <v>19</v>
      </c>
      <c r="B42" s="5">
        <v>89</v>
      </c>
      <c r="C42" s="36"/>
      <c r="D42" s="36"/>
      <c r="E42" s="36"/>
      <c r="F42" s="38">
        <f t="shared" si="0"/>
        <v>95.926762543869586</v>
      </c>
      <c r="G42" s="36">
        <f t="shared" si="1"/>
        <v>1.2502930695065453</v>
      </c>
      <c r="H42" s="36">
        <f t="shared" si="2"/>
        <v>0.92666565466479067</v>
      </c>
      <c r="I42" s="36">
        <f t="shared" si="3"/>
        <v>88.400201181049042</v>
      </c>
      <c r="J42" s="42">
        <f t="shared" si="4"/>
        <v>0.59979881895095843</v>
      </c>
      <c r="K42" s="5">
        <f>H42*(4/SUM($H$40:$H$43))</f>
        <v>0.89774035080114245</v>
      </c>
      <c r="M42" s="62">
        <v>23</v>
      </c>
      <c r="N42" s="57">
        <v>3</v>
      </c>
      <c r="O42" s="63">
        <f>($O$37+N42*$O$36)*K42</f>
        <v>91.030977477099938</v>
      </c>
      <c r="U42" s="11">
        <v>77</v>
      </c>
      <c r="V42" s="32">
        <v>74.730528072259133</v>
      </c>
    </row>
    <row r="43" spans="1:22" ht="15.75" thickBot="1" x14ac:dyDescent="0.3">
      <c r="A43" s="6">
        <v>20</v>
      </c>
      <c r="B43" s="6">
        <v>77</v>
      </c>
      <c r="C43" s="40"/>
      <c r="D43" s="40"/>
      <c r="E43" s="40"/>
      <c r="F43" s="38">
        <f t="shared" si="0"/>
        <v>97.472170080547869</v>
      </c>
      <c r="G43" s="36">
        <f t="shared" si="1"/>
        <v>1.309315962940893</v>
      </c>
      <c r="H43" s="36">
        <f t="shared" si="2"/>
        <v>0.78577808403889948</v>
      </c>
      <c r="I43" s="36">
        <f t="shared" si="3"/>
        <v>74.730528072259133</v>
      </c>
      <c r="J43" s="43">
        <f t="shared" si="4"/>
        <v>2.2694719277408666</v>
      </c>
      <c r="K43" s="6">
        <f>H43*(4/SUM($H$40:$H$43))</f>
        <v>0.76125049986028615</v>
      </c>
      <c r="M43" s="62">
        <v>24</v>
      </c>
      <c r="N43" s="57">
        <v>4</v>
      </c>
      <c r="O43" s="63">
        <f>($O$37+N43*$O$36)*K43</f>
        <v>78.187607921339122</v>
      </c>
      <c r="U43" s="11"/>
      <c r="V43" s="8">
        <v>131.23032574583266</v>
      </c>
    </row>
    <row r="44" spans="1:22" ht="15.75" thickBot="1" x14ac:dyDescent="0.3">
      <c r="A44" s="306" t="s">
        <v>6</v>
      </c>
      <c r="B44" s="307"/>
      <c r="C44" s="80"/>
      <c r="D44" s="78"/>
      <c r="E44" s="78"/>
      <c r="F44" s="80"/>
      <c r="G44" s="78"/>
      <c r="H44" s="78"/>
      <c r="I44" s="78"/>
      <c r="J44" s="79">
        <f>AVERAGE(J28:J43)</f>
        <v>2.2889188061524126</v>
      </c>
      <c r="K44" s="4">
        <f>SUM(K40:K43)</f>
        <v>4</v>
      </c>
      <c r="M44" s="64">
        <v>25</v>
      </c>
      <c r="N44" s="65">
        <v>5</v>
      </c>
      <c r="O44" s="66">
        <f>($O$37+N44*$O$36)*K40</f>
        <v>138.18798419795627</v>
      </c>
      <c r="U44" s="11"/>
      <c r="V44" s="8">
        <v>101.34374290282371</v>
      </c>
    </row>
    <row r="45" spans="1:22" x14ac:dyDescent="0.25">
      <c r="K45" s="15"/>
      <c r="O45" s="29"/>
      <c r="U45" s="11"/>
      <c r="V45" s="8">
        <v>91.030977477099938</v>
      </c>
    </row>
    <row r="46" spans="1:22" ht="15.75" thickBot="1" x14ac:dyDescent="0.3">
      <c r="U46" s="11"/>
      <c r="V46" s="8">
        <v>78.187607921339122</v>
      </c>
    </row>
    <row r="47" spans="1:22" ht="15.75" thickBot="1" x14ac:dyDescent="0.3">
      <c r="A47" s="312" t="s">
        <v>53</v>
      </c>
      <c r="B47" s="313"/>
      <c r="C47" s="313"/>
      <c r="D47" s="313"/>
      <c r="E47" s="314"/>
      <c r="U47" s="27"/>
      <c r="V47" s="10">
        <v>138.18798419795627</v>
      </c>
    </row>
    <row r="48" spans="1:22" ht="15.75" thickBot="1" x14ac:dyDescent="0.3">
      <c r="A48" s="26" t="s">
        <v>45</v>
      </c>
      <c r="B48" s="4" t="s">
        <v>46</v>
      </c>
      <c r="C48" s="30" t="s">
        <v>48</v>
      </c>
      <c r="D48" s="50" t="s">
        <v>6</v>
      </c>
      <c r="E48" s="4" t="s">
        <v>58</v>
      </c>
    </row>
    <row r="49" spans="1:5" x14ac:dyDescent="0.25">
      <c r="A49" s="11">
        <v>0.1</v>
      </c>
      <c r="B49" s="11">
        <v>0.1</v>
      </c>
      <c r="C49" s="7">
        <v>0.1</v>
      </c>
      <c r="D49" s="42">
        <v>4.1575265660195555</v>
      </c>
      <c r="E49" s="42">
        <f>MIN(D49:D777)</f>
        <v>2.2889188061524126</v>
      </c>
    </row>
    <row r="50" spans="1:5" x14ac:dyDescent="0.25">
      <c r="A50" s="11">
        <v>0.1</v>
      </c>
      <c r="B50" s="11">
        <v>0.1</v>
      </c>
      <c r="C50" s="7">
        <v>0.2</v>
      </c>
      <c r="D50" s="42">
        <v>3.7412373124399712</v>
      </c>
      <c r="E50" s="42"/>
    </row>
    <row r="51" spans="1:5" x14ac:dyDescent="0.25">
      <c r="A51" s="11">
        <v>0.1</v>
      </c>
      <c r="B51" s="11">
        <v>0.1</v>
      </c>
      <c r="C51" s="7">
        <v>0.3</v>
      </c>
      <c r="D51" s="42">
        <v>3.3933065475007687</v>
      </c>
      <c r="E51" s="42"/>
    </row>
    <row r="52" spans="1:5" x14ac:dyDescent="0.25">
      <c r="A52" s="11">
        <v>0.1</v>
      </c>
      <c r="B52" s="11">
        <v>0.1</v>
      </c>
      <c r="C52" s="7">
        <v>0.4</v>
      </c>
      <c r="D52" s="42">
        <v>3.1129937754153731</v>
      </c>
      <c r="E52" s="42"/>
    </row>
    <row r="53" spans="1:5" x14ac:dyDescent="0.25">
      <c r="A53" s="11">
        <v>0.1</v>
      </c>
      <c r="B53" s="11">
        <v>0.1</v>
      </c>
      <c r="C53" s="7">
        <v>0.5</v>
      </c>
      <c r="D53" s="42">
        <v>2.9012124230485914</v>
      </c>
      <c r="E53" s="42"/>
    </row>
    <row r="54" spans="1:5" x14ac:dyDescent="0.25">
      <c r="A54" s="11">
        <v>0.1</v>
      </c>
      <c r="B54" s="11">
        <v>0.1</v>
      </c>
      <c r="C54" s="7">
        <v>0.6</v>
      </c>
      <c r="D54" s="42">
        <v>2.7195815552357003</v>
      </c>
      <c r="E54" s="42"/>
    </row>
    <row r="55" spans="1:5" x14ac:dyDescent="0.25">
      <c r="A55" s="11">
        <v>0.1</v>
      </c>
      <c r="B55" s="11">
        <v>0.1</v>
      </c>
      <c r="C55" s="7">
        <v>0.7</v>
      </c>
      <c r="D55" s="42">
        <v>2.5631987004758843</v>
      </c>
      <c r="E55" s="42"/>
    </row>
    <row r="56" spans="1:5" x14ac:dyDescent="0.25">
      <c r="A56" s="11">
        <v>0.1</v>
      </c>
      <c r="B56" s="11">
        <v>0.1</v>
      </c>
      <c r="C56" s="7">
        <v>0.8</v>
      </c>
      <c r="D56" s="42">
        <v>2.4953016661682197</v>
      </c>
      <c r="E56" s="42"/>
    </row>
    <row r="57" spans="1:5" x14ac:dyDescent="0.25">
      <c r="A57" s="11">
        <v>0.1</v>
      </c>
      <c r="B57" s="11">
        <v>0.1</v>
      </c>
      <c r="C57" s="7">
        <v>0.9</v>
      </c>
      <c r="D57" s="42">
        <v>2.5194601373484127</v>
      </c>
      <c r="E57" s="42"/>
    </row>
    <row r="58" spans="1:5" x14ac:dyDescent="0.25">
      <c r="A58" s="11">
        <v>0.1</v>
      </c>
      <c r="B58" s="11">
        <v>0.2</v>
      </c>
      <c r="C58" s="7">
        <v>0.1</v>
      </c>
      <c r="D58" s="42">
        <v>3.6824277040642071</v>
      </c>
      <c r="E58" s="42"/>
    </row>
    <row r="59" spans="1:5" x14ac:dyDescent="0.25">
      <c r="A59" s="11">
        <v>0.1</v>
      </c>
      <c r="B59" s="11">
        <v>0.2</v>
      </c>
      <c r="C59" s="7">
        <v>0.2</v>
      </c>
      <c r="D59" s="42">
        <v>3.375332588479909</v>
      </c>
      <c r="E59" s="42"/>
    </row>
    <row r="60" spans="1:5" x14ac:dyDescent="0.25">
      <c r="A60" s="11">
        <v>0.1</v>
      </c>
      <c r="B60" s="11">
        <v>0.2</v>
      </c>
      <c r="C60" s="7">
        <v>0.3</v>
      </c>
      <c r="D60" s="42">
        <v>3.0872487643978124</v>
      </c>
      <c r="E60" s="42"/>
    </row>
    <row r="61" spans="1:5" x14ac:dyDescent="0.25">
      <c r="A61" s="11">
        <v>0.1</v>
      </c>
      <c r="B61" s="11">
        <v>0.2</v>
      </c>
      <c r="C61" s="7">
        <v>0.4</v>
      </c>
      <c r="D61" s="42">
        <v>2.8626281981420507</v>
      </c>
      <c r="E61" s="42"/>
    </row>
    <row r="62" spans="1:5" x14ac:dyDescent="0.25">
      <c r="A62" s="11">
        <v>0.1</v>
      </c>
      <c r="B62" s="11">
        <v>0.2</v>
      </c>
      <c r="C62" s="7">
        <v>0.5</v>
      </c>
      <c r="D62" s="42">
        <v>2.6614149466099359</v>
      </c>
      <c r="E62" s="42"/>
    </row>
    <row r="63" spans="1:5" x14ac:dyDescent="0.25">
      <c r="A63" s="11">
        <v>0.1</v>
      </c>
      <c r="B63" s="11">
        <v>0.2</v>
      </c>
      <c r="C63" s="7">
        <v>0.6</v>
      </c>
      <c r="D63" s="42">
        <v>2.4628203390023216</v>
      </c>
      <c r="E63" s="42"/>
    </row>
    <row r="64" spans="1:5" x14ac:dyDescent="0.25">
      <c r="A64" s="11">
        <v>0.1</v>
      </c>
      <c r="B64" s="11">
        <v>0.2</v>
      </c>
      <c r="C64" s="7">
        <v>0.7</v>
      </c>
      <c r="D64" s="42">
        <v>2.3294115896609986</v>
      </c>
      <c r="E64" s="42"/>
    </row>
    <row r="65" spans="1:5" x14ac:dyDescent="0.25">
      <c r="A65" s="98">
        <v>0.1</v>
      </c>
      <c r="B65" s="98">
        <v>0.2</v>
      </c>
      <c r="C65" s="95">
        <v>0.8</v>
      </c>
      <c r="D65" s="42">
        <v>2.2889188061524126</v>
      </c>
      <c r="E65" s="42"/>
    </row>
    <row r="66" spans="1:5" x14ac:dyDescent="0.25">
      <c r="A66" s="11">
        <v>0.1</v>
      </c>
      <c r="B66" s="11">
        <v>0.2</v>
      </c>
      <c r="C66" s="7">
        <v>0.9</v>
      </c>
      <c r="D66" s="42">
        <v>2.2968239745779147</v>
      </c>
      <c r="E66" s="42"/>
    </row>
    <row r="67" spans="1:5" x14ac:dyDescent="0.25">
      <c r="A67" s="11">
        <v>0.1</v>
      </c>
      <c r="B67" s="11">
        <v>0.3</v>
      </c>
      <c r="C67" s="7">
        <v>0.1</v>
      </c>
      <c r="D67" s="42">
        <v>3.5895849595748235</v>
      </c>
      <c r="E67" s="42"/>
    </row>
    <row r="68" spans="1:5" x14ac:dyDescent="0.25">
      <c r="A68" s="11">
        <v>0.1</v>
      </c>
      <c r="B68" s="11">
        <v>0.3</v>
      </c>
      <c r="C68" s="7">
        <v>0.2</v>
      </c>
      <c r="D68" s="42">
        <v>3.3264971625692987</v>
      </c>
      <c r="E68" s="42"/>
    </row>
    <row r="69" spans="1:5" x14ac:dyDescent="0.25">
      <c r="A69" s="11">
        <v>0.1</v>
      </c>
      <c r="B69" s="11">
        <v>0.3</v>
      </c>
      <c r="C69" s="7">
        <v>0.3</v>
      </c>
      <c r="D69" s="42">
        <v>3.0945979404821462</v>
      </c>
      <c r="E69" s="42"/>
    </row>
    <row r="70" spans="1:5" x14ac:dyDescent="0.25">
      <c r="A70" s="11">
        <v>0.1</v>
      </c>
      <c r="B70" s="11">
        <v>0.3</v>
      </c>
      <c r="C70" s="7">
        <v>0.4</v>
      </c>
      <c r="D70" s="42">
        <v>2.8652882186661541</v>
      </c>
      <c r="E70" s="42"/>
    </row>
    <row r="71" spans="1:5" x14ac:dyDescent="0.25">
      <c r="A71" s="11">
        <v>0.1</v>
      </c>
      <c r="B71" s="11">
        <v>0.3</v>
      </c>
      <c r="C71" s="7">
        <v>0.5</v>
      </c>
      <c r="D71" s="42">
        <v>2.6504200521320871</v>
      </c>
      <c r="E71" s="42"/>
    </row>
    <row r="72" spans="1:5" x14ac:dyDescent="0.25">
      <c r="A72" s="11">
        <v>0.1</v>
      </c>
      <c r="B72" s="11">
        <v>0.3</v>
      </c>
      <c r="C72" s="7">
        <v>0.6</v>
      </c>
      <c r="D72" s="42">
        <v>2.4439837717027131</v>
      </c>
      <c r="E72" s="42"/>
    </row>
    <row r="73" spans="1:5" x14ac:dyDescent="0.25">
      <c r="A73" s="11">
        <v>0.1</v>
      </c>
      <c r="B73" s="11">
        <v>0.3</v>
      </c>
      <c r="C73" s="7">
        <v>0.7</v>
      </c>
      <c r="D73" s="42">
        <v>2.3820812547527832</v>
      </c>
      <c r="E73" s="42"/>
    </row>
    <row r="74" spans="1:5" x14ac:dyDescent="0.25">
      <c r="A74" s="11">
        <v>0.1</v>
      </c>
      <c r="B74" s="11">
        <v>0.3</v>
      </c>
      <c r="C74" s="7">
        <v>0.8</v>
      </c>
      <c r="D74" s="42">
        <v>2.3479525351213781</v>
      </c>
      <c r="E74" s="42"/>
    </row>
    <row r="75" spans="1:5" x14ac:dyDescent="0.25">
      <c r="A75" s="11">
        <v>0.1</v>
      </c>
      <c r="B75" s="11">
        <v>0.3</v>
      </c>
      <c r="C75" s="7">
        <v>0.9</v>
      </c>
      <c r="D75" s="42">
        <v>2.3339333409941783</v>
      </c>
      <c r="E75" s="42"/>
    </row>
    <row r="76" spans="1:5" x14ac:dyDescent="0.25">
      <c r="A76" s="11">
        <v>0.1</v>
      </c>
      <c r="B76" s="11">
        <v>0.4</v>
      </c>
      <c r="C76" s="7">
        <v>0.1</v>
      </c>
      <c r="D76" s="42">
        <v>3.693612327337203</v>
      </c>
      <c r="E76" s="42"/>
    </row>
    <row r="77" spans="1:5" x14ac:dyDescent="0.25">
      <c r="A77" s="11">
        <v>0.1</v>
      </c>
      <c r="B77" s="11">
        <v>0.4</v>
      </c>
      <c r="C77" s="7">
        <v>0.2</v>
      </c>
      <c r="D77" s="42">
        <v>3.423911236078276</v>
      </c>
      <c r="E77" s="42"/>
    </row>
    <row r="78" spans="1:5" x14ac:dyDescent="0.25">
      <c r="A78" s="11">
        <v>0.1</v>
      </c>
      <c r="B78" s="11">
        <v>0.4</v>
      </c>
      <c r="C78" s="7">
        <v>0.3</v>
      </c>
      <c r="D78" s="42">
        <v>3.1555917355658427</v>
      </c>
      <c r="E78" s="42"/>
    </row>
    <row r="79" spans="1:5" x14ac:dyDescent="0.25">
      <c r="A79" s="11">
        <v>0.1</v>
      </c>
      <c r="B79" s="11">
        <v>0.4</v>
      </c>
      <c r="C79" s="7">
        <v>0.4</v>
      </c>
      <c r="D79" s="42">
        <v>2.9145398747146705</v>
      </c>
      <c r="E79" s="42"/>
    </row>
    <row r="80" spans="1:5" x14ac:dyDescent="0.25">
      <c r="A80" s="11">
        <v>0.1</v>
      </c>
      <c r="B80" s="11">
        <v>0.4</v>
      </c>
      <c r="C80" s="7">
        <v>0.5</v>
      </c>
      <c r="D80" s="42">
        <v>2.69996505057019</v>
      </c>
      <c r="E80" s="42"/>
    </row>
    <row r="81" spans="1:5" x14ac:dyDescent="0.25">
      <c r="A81" s="11">
        <v>0.1</v>
      </c>
      <c r="B81" s="11">
        <v>0.4</v>
      </c>
      <c r="C81" s="7">
        <v>0.6</v>
      </c>
      <c r="D81" s="42">
        <v>2.5742230875851466</v>
      </c>
      <c r="E81" s="42"/>
    </row>
    <row r="82" spans="1:5" x14ac:dyDescent="0.25">
      <c r="A82" s="11">
        <v>0.1</v>
      </c>
      <c r="B82" s="11">
        <v>0.4</v>
      </c>
      <c r="C82" s="7">
        <v>0.7</v>
      </c>
      <c r="D82" s="42">
        <v>2.5000564194543875</v>
      </c>
      <c r="E82" s="42"/>
    </row>
    <row r="83" spans="1:5" x14ac:dyDescent="0.25">
      <c r="A83" s="11">
        <v>0.1</v>
      </c>
      <c r="B83" s="11">
        <v>0.4</v>
      </c>
      <c r="C83" s="7">
        <v>0.8</v>
      </c>
      <c r="D83" s="42">
        <v>2.4353487019225364</v>
      </c>
      <c r="E83" s="42"/>
    </row>
    <row r="84" spans="1:5" x14ac:dyDescent="0.25">
      <c r="A84" s="11">
        <v>0.1</v>
      </c>
      <c r="B84" s="11">
        <v>0.4</v>
      </c>
      <c r="C84" s="7">
        <v>0.9</v>
      </c>
      <c r="D84" s="42">
        <v>2.4114514957750206</v>
      </c>
      <c r="E84" s="42"/>
    </row>
    <row r="85" spans="1:5" x14ac:dyDescent="0.25">
      <c r="A85" s="11">
        <v>0.1</v>
      </c>
      <c r="B85" s="11">
        <v>0.5</v>
      </c>
      <c r="C85" s="7">
        <v>0.1</v>
      </c>
      <c r="D85" s="42">
        <v>3.8425733059105718</v>
      </c>
      <c r="E85" s="42"/>
    </row>
    <row r="86" spans="1:5" x14ac:dyDescent="0.25">
      <c r="A86" s="11">
        <v>0.1</v>
      </c>
      <c r="B86" s="11">
        <v>0.5</v>
      </c>
      <c r="C86" s="7">
        <v>0.2</v>
      </c>
      <c r="D86" s="42">
        <v>3.5647601649347842</v>
      </c>
      <c r="E86" s="42"/>
    </row>
    <row r="87" spans="1:5" x14ac:dyDescent="0.25">
      <c r="A87" s="11">
        <v>0.1</v>
      </c>
      <c r="B87" s="11">
        <v>0.5</v>
      </c>
      <c r="C87" s="7">
        <v>0.3</v>
      </c>
      <c r="D87" s="42">
        <v>3.2917620896668671</v>
      </c>
      <c r="E87" s="42"/>
    </row>
    <row r="88" spans="1:5" x14ac:dyDescent="0.25">
      <c r="A88" s="11">
        <v>0.1</v>
      </c>
      <c r="B88" s="11">
        <v>0.5</v>
      </c>
      <c r="C88" s="7">
        <v>0.4</v>
      </c>
      <c r="D88" s="42">
        <v>3.0252867657287315</v>
      </c>
      <c r="E88" s="42"/>
    </row>
    <row r="89" spans="1:5" x14ac:dyDescent="0.25">
      <c r="A89" s="11">
        <v>0.1</v>
      </c>
      <c r="B89" s="11">
        <v>0.5</v>
      </c>
      <c r="C89" s="7">
        <v>0.5</v>
      </c>
      <c r="D89" s="42">
        <v>2.8127185795090712</v>
      </c>
      <c r="E89" s="42"/>
    </row>
    <row r="90" spans="1:5" x14ac:dyDescent="0.25">
      <c r="A90" s="11">
        <v>0.1</v>
      </c>
      <c r="B90" s="11">
        <v>0.5</v>
      </c>
      <c r="C90" s="7">
        <v>0.6</v>
      </c>
      <c r="D90" s="42">
        <v>2.6891759587831028</v>
      </c>
      <c r="E90" s="42"/>
    </row>
    <row r="91" spans="1:5" x14ac:dyDescent="0.25">
      <c r="A91" s="11">
        <v>0.1</v>
      </c>
      <c r="B91" s="11">
        <v>0.5</v>
      </c>
      <c r="C91" s="7">
        <v>0.7</v>
      </c>
      <c r="D91" s="42">
        <v>2.6038908617154344</v>
      </c>
      <c r="E91" s="42"/>
    </row>
    <row r="92" spans="1:5" x14ac:dyDescent="0.25">
      <c r="A92" s="11">
        <v>0.1</v>
      </c>
      <c r="B92" s="11">
        <v>0.5</v>
      </c>
      <c r="C92" s="7">
        <v>0.8</v>
      </c>
      <c r="D92" s="42">
        <v>2.5293313972753002</v>
      </c>
      <c r="E92" s="42"/>
    </row>
    <row r="93" spans="1:5" x14ac:dyDescent="0.25">
      <c r="A93" s="11">
        <v>0.1</v>
      </c>
      <c r="B93" s="11">
        <v>0.5</v>
      </c>
      <c r="C93" s="7">
        <v>0.9</v>
      </c>
      <c r="D93" s="42">
        <v>2.4916386482545909</v>
      </c>
      <c r="E93" s="42"/>
    </row>
    <row r="94" spans="1:5" x14ac:dyDescent="0.25">
      <c r="A94" s="11">
        <v>0.1</v>
      </c>
      <c r="B94" s="11">
        <v>0.6</v>
      </c>
      <c r="C94" s="7">
        <v>0.1</v>
      </c>
      <c r="D94" s="42">
        <v>3.9865447296056158</v>
      </c>
      <c r="E94" s="42"/>
    </row>
    <row r="95" spans="1:5" x14ac:dyDescent="0.25">
      <c r="A95" s="11">
        <v>0.1</v>
      </c>
      <c r="B95" s="11">
        <v>0.6</v>
      </c>
      <c r="C95" s="7">
        <v>0.2</v>
      </c>
      <c r="D95" s="42">
        <v>3.6794928850122401</v>
      </c>
      <c r="E95" s="42"/>
    </row>
    <row r="96" spans="1:5" x14ac:dyDescent="0.25">
      <c r="A96" s="11">
        <v>0.1</v>
      </c>
      <c r="B96" s="11">
        <v>0.6</v>
      </c>
      <c r="C96" s="7">
        <v>0.3</v>
      </c>
      <c r="D96" s="42">
        <v>3.3803453798216947</v>
      </c>
      <c r="E96" s="42"/>
    </row>
    <row r="97" spans="1:5" x14ac:dyDescent="0.25">
      <c r="A97" s="11">
        <v>0.1</v>
      </c>
      <c r="B97" s="11">
        <v>0.6</v>
      </c>
      <c r="C97" s="7">
        <v>0.4</v>
      </c>
      <c r="D97" s="42">
        <v>3.0985600357292014</v>
      </c>
      <c r="E97" s="42"/>
    </row>
    <row r="98" spans="1:5" x14ac:dyDescent="0.25">
      <c r="A98" s="11">
        <v>0.1</v>
      </c>
      <c r="B98" s="11">
        <v>0.6</v>
      </c>
      <c r="C98" s="7">
        <v>0.5</v>
      </c>
      <c r="D98" s="42">
        <v>2.9325548152941741</v>
      </c>
      <c r="E98" s="42"/>
    </row>
    <row r="99" spans="1:5" x14ac:dyDescent="0.25">
      <c r="A99" s="11">
        <v>0.1</v>
      </c>
      <c r="B99" s="11">
        <v>0.6</v>
      </c>
      <c r="C99" s="7">
        <v>0.6</v>
      </c>
      <c r="D99" s="42">
        <v>2.7913109180486657</v>
      </c>
      <c r="E99" s="42"/>
    </row>
    <row r="100" spans="1:5" x14ac:dyDescent="0.25">
      <c r="A100" s="11">
        <v>0.1</v>
      </c>
      <c r="B100" s="11">
        <v>0.6</v>
      </c>
      <c r="C100" s="7">
        <v>0.7</v>
      </c>
      <c r="D100" s="42">
        <v>2.6928205353724408</v>
      </c>
      <c r="E100" s="42"/>
    </row>
    <row r="101" spans="1:5" x14ac:dyDescent="0.25">
      <c r="A101" s="11">
        <v>0.1</v>
      </c>
      <c r="B101" s="11">
        <v>0.6</v>
      </c>
      <c r="C101" s="7">
        <v>0.8</v>
      </c>
      <c r="D101" s="42">
        <v>2.6109331609979005</v>
      </c>
      <c r="E101" s="42"/>
    </row>
    <row r="102" spans="1:5" x14ac:dyDescent="0.25">
      <c r="A102" s="11">
        <v>0.1</v>
      </c>
      <c r="B102" s="11">
        <v>0.6</v>
      </c>
      <c r="C102" s="7">
        <v>0.9</v>
      </c>
      <c r="D102" s="42">
        <v>2.5681087499913424</v>
      </c>
      <c r="E102" s="42"/>
    </row>
    <row r="103" spans="1:5" x14ac:dyDescent="0.25">
      <c r="A103" s="11">
        <v>0.1</v>
      </c>
      <c r="B103" s="11">
        <v>0.7</v>
      </c>
      <c r="C103" s="7">
        <v>0.1</v>
      </c>
      <c r="D103" s="42">
        <v>4.0710573545935524</v>
      </c>
      <c r="E103" s="42"/>
    </row>
    <row r="104" spans="1:5" x14ac:dyDescent="0.25">
      <c r="A104" s="11">
        <v>0.1</v>
      </c>
      <c r="B104" s="11">
        <v>0.7</v>
      </c>
      <c r="C104" s="7">
        <v>0.2</v>
      </c>
      <c r="D104" s="42">
        <v>3.7402429537357076</v>
      </c>
      <c r="E104" s="42"/>
    </row>
    <row r="105" spans="1:5" x14ac:dyDescent="0.25">
      <c r="A105" s="11">
        <v>0.1</v>
      </c>
      <c r="B105" s="11">
        <v>0.7</v>
      </c>
      <c r="C105" s="7">
        <v>0.3</v>
      </c>
      <c r="D105" s="42">
        <v>3.4201507467777379</v>
      </c>
      <c r="E105" s="42"/>
    </row>
    <row r="106" spans="1:5" x14ac:dyDescent="0.25">
      <c r="A106" s="11">
        <v>0.1</v>
      </c>
      <c r="B106" s="11">
        <v>0.7</v>
      </c>
      <c r="C106" s="7">
        <v>0.4</v>
      </c>
      <c r="D106" s="42">
        <v>3.1917005949510004</v>
      </c>
      <c r="E106" s="42"/>
    </row>
    <row r="107" spans="1:5" x14ac:dyDescent="0.25">
      <c r="A107" s="11">
        <v>0.1</v>
      </c>
      <c r="B107" s="11">
        <v>0.7</v>
      </c>
      <c r="C107" s="7">
        <v>0.5</v>
      </c>
      <c r="D107" s="42">
        <v>3.0317371637968824</v>
      </c>
      <c r="E107" s="42"/>
    </row>
    <row r="108" spans="1:5" x14ac:dyDescent="0.25">
      <c r="A108" s="11">
        <v>0.1</v>
      </c>
      <c r="B108" s="11">
        <v>0.7</v>
      </c>
      <c r="C108" s="7">
        <v>0.6</v>
      </c>
      <c r="D108" s="42">
        <v>2.8791481026034962</v>
      </c>
      <c r="E108" s="42"/>
    </row>
    <row r="109" spans="1:5" x14ac:dyDescent="0.25">
      <c r="A109" s="11">
        <v>0.1</v>
      </c>
      <c r="B109" s="11">
        <v>0.7</v>
      </c>
      <c r="C109" s="7">
        <v>0.7</v>
      </c>
      <c r="D109" s="42">
        <v>2.766829967292642</v>
      </c>
      <c r="E109" s="42"/>
    </row>
    <row r="110" spans="1:5" x14ac:dyDescent="0.25">
      <c r="A110" s="11">
        <v>0.1</v>
      </c>
      <c r="B110" s="11">
        <v>0.7</v>
      </c>
      <c r="C110" s="7">
        <v>0.8</v>
      </c>
      <c r="D110" s="42">
        <v>2.6921632721428637</v>
      </c>
      <c r="E110" s="42"/>
    </row>
    <row r="111" spans="1:5" x14ac:dyDescent="0.25">
      <c r="A111" s="11">
        <v>0.1</v>
      </c>
      <c r="B111" s="11">
        <v>0.7</v>
      </c>
      <c r="C111" s="7">
        <v>0.9</v>
      </c>
      <c r="D111" s="42">
        <v>2.6364650073883702</v>
      </c>
      <c r="E111" s="42"/>
    </row>
    <row r="112" spans="1:5" x14ac:dyDescent="0.25">
      <c r="A112" s="11">
        <v>0.1</v>
      </c>
      <c r="B112" s="11">
        <v>0.8</v>
      </c>
      <c r="C112" s="7">
        <v>0.1</v>
      </c>
      <c r="D112" s="42">
        <v>4.1066894279506627</v>
      </c>
      <c r="E112" s="42"/>
    </row>
    <row r="113" spans="1:5" x14ac:dyDescent="0.25">
      <c r="A113" s="11">
        <v>0.1</v>
      </c>
      <c r="B113" s="11">
        <v>0.8</v>
      </c>
      <c r="C113" s="7">
        <v>0.2</v>
      </c>
      <c r="D113" s="42">
        <v>3.7570372611780729</v>
      </c>
      <c r="E113" s="42"/>
    </row>
    <row r="114" spans="1:5" x14ac:dyDescent="0.25">
      <c r="A114" s="11">
        <v>0.1</v>
      </c>
      <c r="B114" s="11">
        <v>0.8</v>
      </c>
      <c r="C114" s="7">
        <v>0.3</v>
      </c>
      <c r="D114" s="42">
        <v>3.4590191330753113</v>
      </c>
      <c r="E114" s="42"/>
    </row>
    <row r="115" spans="1:5" x14ac:dyDescent="0.25">
      <c r="A115" s="11">
        <v>0.1</v>
      </c>
      <c r="B115" s="11">
        <v>0.8</v>
      </c>
      <c r="C115" s="7">
        <v>0.4</v>
      </c>
      <c r="D115" s="42">
        <v>3.2816178864154217</v>
      </c>
      <c r="E115" s="42"/>
    </row>
    <row r="116" spans="1:5" x14ac:dyDescent="0.25">
      <c r="A116" s="11">
        <v>0.1</v>
      </c>
      <c r="B116" s="11">
        <v>0.8</v>
      </c>
      <c r="C116" s="7">
        <v>0.5</v>
      </c>
      <c r="D116" s="42">
        <v>3.1076457912717981</v>
      </c>
      <c r="E116" s="42"/>
    </row>
    <row r="117" spans="1:5" x14ac:dyDescent="0.25">
      <c r="A117" s="11">
        <v>0.1</v>
      </c>
      <c r="B117" s="11">
        <v>0.8</v>
      </c>
      <c r="C117" s="7">
        <v>0.6</v>
      </c>
      <c r="D117" s="42">
        <v>2.9403396735541971</v>
      </c>
      <c r="E117" s="42"/>
    </row>
    <row r="118" spans="1:5" x14ac:dyDescent="0.25">
      <c r="A118" s="11">
        <v>0.1</v>
      </c>
      <c r="B118" s="11">
        <v>0.8</v>
      </c>
      <c r="C118" s="7">
        <v>0.7</v>
      </c>
      <c r="D118" s="42">
        <v>2.8264511927162195</v>
      </c>
      <c r="E118" s="42"/>
    </row>
    <row r="119" spans="1:5" x14ac:dyDescent="0.25">
      <c r="A119" s="11">
        <v>0.1</v>
      </c>
      <c r="B119" s="11">
        <v>0.8</v>
      </c>
      <c r="C119" s="7">
        <v>0.8</v>
      </c>
      <c r="D119" s="42">
        <v>2.7627782109289836</v>
      </c>
      <c r="E119" s="42"/>
    </row>
    <row r="120" spans="1:5" x14ac:dyDescent="0.25">
      <c r="A120" s="11">
        <v>0.1</v>
      </c>
      <c r="B120" s="11">
        <v>0.8</v>
      </c>
      <c r="C120" s="7">
        <v>0.9</v>
      </c>
      <c r="D120" s="42">
        <v>2.6938737688563066</v>
      </c>
      <c r="E120" s="42"/>
    </row>
    <row r="121" spans="1:5" x14ac:dyDescent="0.25">
      <c r="A121" s="11">
        <v>0.1</v>
      </c>
      <c r="B121" s="11">
        <v>0.9</v>
      </c>
      <c r="C121" s="7">
        <v>0.1</v>
      </c>
      <c r="D121" s="42">
        <v>4.1027876137472195</v>
      </c>
      <c r="E121" s="42"/>
    </row>
    <row r="122" spans="1:5" x14ac:dyDescent="0.25">
      <c r="A122" s="11">
        <v>0.1</v>
      </c>
      <c r="B122" s="11">
        <v>0.9</v>
      </c>
      <c r="C122" s="7">
        <v>0.2</v>
      </c>
      <c r="D122" s="42">
        <v>3.7477673870568879</v>
      </c>
      <c r="E122" s="42"/>
    </row>
    <row r="123" spans="1:5" x14ac:dyDescent="0.25">
      <c r="A123" s="11">
        <v>0.1</v>
      </c>
      <c r="B123" s="11">
        <v>0.9</v>
      </c>
      <c r="C123" s="7">
        <v>0.3</v>
      </c>
      <c r="D123" s="42">
        <v>3.5398364412980587</v>
      </c>
      <c r="E123" s="42"/>
    </row>
    <row r="124" spans="1:5" x14ac:dyDescent="0.25">
      <c r="A124" s="11">
        <v>0.1</v>
      </c>
      <c r="B124" s="11">
        <v>0.9</v>
      </c>
      <c r="C124" s="7">
        <v>0.4</v>
      </c>
      <c r="D124" s="42">
        <v>3.3462404311295</v>
      </c>
      <c r="E124" s="42"/>
    </row>
    <row r="125" spans="1:5" x14ac:dyDescent="0.25">
      <c r="A125" s="11">
        <v>0.1</v>
      </c>
      <c r="B125" s="11">
        <v>0.9</v>
      </c>
      <c r="C125" s="7">
        <v>0.5</v>
      </c>
      <c r="D125" s="42">
        <v>3.157774080529383</v>
      </c>
      <c r="E125" s="42"/>
    </row>
    <row r="126" spans="1:5" x14ac:dyDescent="0.25">
      <c r="A126" s="11">
        <v>0.1</v>
      </c>
      <c r="B126" s="11">
        <v>0.9</v>
      </c>
      <c r="C126" s="7">
        <v>0.6</v>
      </c>
      <c r="D126" s="42">
        <v>2.9923440002229382</v>
      </c>
      <c r="E126" s="42"/>
    </row>
    <row r="127" spans="1:5" x14ac:dyDescent="0.25">
      <c r="A127" s="11">
        <v>0.1</v>
      </c>
      <c r="B127" s="11">
        <v>0.9</v>
      </c>
      <c r="C127" s="7">
        <v>0.7</v>
      </c>
      <c r="D127" s="42">
        <v>2.896201034731094</v>
      </c>
      <c r="E127" s="42"/>
    </row>
    <row r="128" spans="1:5" x14ac:dyDescent="0.25">
      <c r="A128" s="11">
        <v>0.1</v>
      </c>
      <c r="B128" s="11">
        <v>0.9</v>
      </c>
      <c r="C128" s="7">
        <v>0.8</v>
      </c>
      <c r="D128" s="42">
        <v>2.8205800113048882</v>
      </c>
      <c r="E128" s="42"/>
    </row>
    <row r="129" spans="1:5" ht="15.75" thickBot="1" x14ac:dyDescent="0.3">
      <c r="A129" s="11">
        <v>0.1</v>
      </c>
      <c r="B129" s="27">
        <v>0.9</v>
      </c>
      <c r="C129" s="9">
        <v>0.9</v>
      </c>
      <c r="D129" s="43">
        <v>2.7387334630616857</v>
      </c>
      <c r="E129" s="43"/>
    </row>
    <row r="130" spans="1:5" x14ac:dyDescent="0.25">
      <c r="A130" s="11">
        <v>0.2</v>
      </c>
      <c r="B130" s="11">
        <v>0.1</v>
      </c>
      <c r="C130" s="7">
        <v>0.1</v>
      </c>
      <c r="D130" s="28">
        <v>3.4747659781546778</v>
      </c>
      <c r="E130" s="28"/>
    </row>
    <row r="131" spans="1:5" x14ac:dyDescent="0.25">
      <c r="A131" s="11">
        <v>0.2</v>
      </c>
      <c r="B131" s="11">
        <v>0.1</v>
      </c>
      <c r="C131" s="7">
        <v>0.2</v>
      </c>
      <c r="D131" s="28">
        <v>3.243222892868423</v>
      </c>
      <c r="E131" s="28"/>
    </row>
    <row r="132" spans="1:5" x14ac:dyDescent="0.25">
      <c r="A132" s="11">
        <v>0.2</v>
      </c>
      <c r="B132" s="11">
        <v>0.1</v>
      </c>
      <c r="C132" s="7">
        <v>0.3</v>
      </c>
      <c r="D132" s="28">
        <v>3.0141471090700529</v>
      </c>
      <c r="E132" s="28"/>
    </row>
    <row r="133" spans="1:5" x14ac:dyDescent="0.25">
      <c r="A133" s="11">
        <v>0.2</v>
      </c>
      <c r="B133" s="11">
        <v>0.1</v>
      </c>
      <c r="C133" s="7">
        <v>0.4</v>
      </c>
      <c r="D133" s="28">
        <v>2.7887446992402962</v>
      </c>
      <c r="E133" s="28"/>
    </row>
    <row r="134" spans="1:5" x14ac:dyDescent="0.25">
      <c r="A134" s="11">
        <v>0.2</v>
      </c>
      <c r="B134" s="11">
        <v>0.1</v>
      </c>
      <c r="C134" s="7">
        <v>0.5</v>
      </c>
      <c r="D134" s="28">
        <v>2.6137904955314437</v>
      </c>
      <c r="E134" s="28"/>
    </row>
    <row r="135" spans="1:5" x14ac:dyDescent="0.25">
      <c r="A135" s="11">
        <v>0.2</v>
      </c>
      <c r="B135" s="11">
        <v>0.1</v>
      </c>
      <c r="C135" s="7">
        <v>0.6</v>
      </c>
      <c r="D135" s="28">
        <v>2.4983287506786582</v>
      </c>
      <c r="E135" s="28"/>
    </row>
    <row r="136" spans="1:5" x14ac:dyDescent="0.25">
      <c r="A136" s="11">
        <v>0.2</v>
      </c>
      <c r="B136" s="11">
        <v>0.1</v>
      </c>
      <c r="C136" s="7">
        <v>0.7</v>
      </c>
      <c r="D136" s="28">
        <v>2.418300201124945</v>
      </c>
      <c r="E136" s="28"/>
    </row>
    <row r="137" spans="1:5" x14ac:dyDescent="0.25">
      <c r="A137" s="11">
        <v>0.2</v>
      </c>
      <c r="B137" s="11">
        <v>0.1</v>
      </c>
      <c r="C137" s="7">
        <v>0.8</v>
      </c>
      <c r="D137" s="28">
        <v>2.3782464536052217</v>
      </c>
      <c r="E137" s="28"/>
    </row>
    <row r="138" spans="1:5" x14ac:dyDescent="0.25">
      <c r="A138" s="11">
        <v>0.2</v>
      </c>
      <c r="B138" s="11">
        <v>0.1</v>
      </c>
      <c r="C138" s="7">
        <v>0.9</v>
      </c>
      <c r="D138" s="28">
        <v>2.3506300607728239</v>
      </c>
      <c r="E138" s="28"/>
    </row>
    <row r="139" spans="1:5" x14ac:dyDescent="0.25">
      <c r="A139" s="11">
        <v>0.2</v>
      </c>
      <c r="B139" s="11">
        <v>0.2</v>
      </c>
      <c r="C139" s="7">
        <v>0.1</v>
      </c>
      <c r="D139" s="28">
        <v>3.5012875916910016</v>
      </c>
      <c r="E139" s="28"/>
    </row>
    <row r="140" spans="1:5" x14ac:dyDescent="0.25">
      <c r="A140" s="11">
        <v>0.2</v>
      </c>
      <c r="B140" s="11">
        <v>0.2</v>
      </c>
      <c r="C140" s="7">
        <v>0.2</v>
      </c>
      <c r="D140" s="28">
        <v>3.2502252387125732</v>
      </c>
      <c r="E140" s="28"/>
    </row>
    <row r="141" spans="1:5" x14ac:dyDescent="0.25">
      <c r="A141" s="11">
        <v>0.2</v>
      </c>
      <c r="B141" s="11">
        <v>0.2</v>
      </c>
      <c r="C141" s="7">
        <v>0.3</v>
      </c>
      <c r="D141" s="28">
        <v>3.0194476336901888</v>
      </c>
      <c r="E141" s="28"/>
    </row>
    <row r="142" spans="1:5" x14ac:dyDescent="0.25">
      <c r="A142" s="11">
        <v>0.2</v>
      </c>
      <c r="B142" s="11">
        <v>0.2</v>
      </c>
      <c r="C142" s="7">
        <v>0.4</v>
      </c>
      <c r="D142" s="28">
        <v>2.8702257741668404</v>
      </c>
      <c r="E142" s="28"/>
    </row>
    <row r="143" spans="1:5" x14ac:dyDescent="0.25">
      <c r="A143" s="11">
        <v>0.2</v>
      </c>
      <c r="B143" s="11">
        <v>0.2</v>
      </c>
      <c r="C143" s="7">
        <v>0.5</v>
      </c>
      <c r="D143" s="28">
        <v>2.7485745759741298</v>
      </c>
      <c r="E143" s="28"/>
    </row>
    <row r="144" spans="1:5" x14ac:dyDescent="0.25">
      <c r="A144" s="11">
        <v>0.2</v>
      </c>
      <c r="B144" s="11">
        <v>0.2</v>
      </c>
      <c r="C144" s="7">
        <v>0.6</v>
      </c>
      <c r="D144" s="28">
        <v>2.6338257229165425</v>
      </c>
      <c r="E144" s="28"/>
    </row>
    <row r="145" spans="1:5" x14ac:dyDescent="0.25">
      <c r="A145" s="11">
        <v>0.2</v>
      </c>
      <c r="B145" s="11">
        <v>0.2</v>
      </c>
      <c r="C145" s="7">
        <v>0.7</v>
      </c>
      <c r="D145" s="28">
        <v>2.5274762627109393</v>
      </c>
      <c r="E145" s="28"/>
    </row>
    <row r="146" spans="1:5" x14ac:dyDescent="0.25">
      <c r="A146" s="11">
        <v>0.2</v>
      </c>
      <c r="B146" s="11">
        <v>0.2</v>
      </c>
      <c r="C146" s="7">
        <v>0.8</v>
      </c>
      <c r="D146" s="28">
        <v>2.433630009256802</v>
      </c>
      <c r="E146" s="28"/>
    </row>
    <row r="147" spans="1:5" x14ac:dyDescent="0.25">
      <c r="A147" s="11">
        <v>0.2</v>
      </c>
      <c r="B147" s="11">
        <v>0.2</v>
      </c>
      <c r="C147" s="7">
        <v>0.9</v>
      </c>
      <c r="D147" s="28">
        <v>2.3816072173366281</v>
      </c>
      <c r="E147" s="28"/>
    </row>
    <row r="148" spans="1:5" x14ac:dyDescent="0.25">
      <c r="A148" s="11">
        <v>0.2</v>
      </c>
      <c r="B148" s="11">
        <v>0.3</v>
      </c>
      <c r="C148" s="7">
        <v>0.1</v>
      </c>
      <c r="D148" s="28">
        <v>3.6695417071167058</v>
      </c>
      <c r="E148" s="28"/>
    </row>
    <row r="149" spans="1:5" x14ac:dyDescent="0.25">
      <c r="A149" s="11">
        <v>0.2</v>
      </c>
      <c r="B149" s="11">
        <v>0.3</v>
      </c>
      <c r="C149" s="7">
        <v>0.2</v>
      </c>
      <c r="D149" s="28">
        <v>3.3683278354418609</v>
      </c>
      <c r="E149" s="28"/>
    </row>
    <row r="150" spans="1:5" x14ac:dyDescent="0.25">
      <c r="A150" s="11">
        <v>0.2</v>
      </c>
      <c r="B150" s="11">
        <v>0.3</v>
      </c>
      <c r="C150" s="7">
        <v>0.3</v>
      </c>
      <c r="D150" s="28">
        <v>3.1820707419135439</v>
      </c>
      <c r="E150" s="28"/>
    </row>
    <row r="151" spans="1:5" x14ac:dyDescent="0.25">
      <c r="A151" s="11">
        <v>0.2</v>
      </c>
      <c r="B151" s="11">
        <v>0.3</v>
      </c>
      <c r="C151" s="7">
        <v>0.4</v>
      </c>
      <c r="D151" s="28">
        <v>3.0387495671103344</v>
      </c>
      <c r="E151" s="28"/>
    </row>
    <row r="152" spans="1:5" x14ac:dyDescent="0.25">
      <c r="A152" s="11">
        <v>0.2</v>
      </c>
      <c r="B152" s="11">
        <v>0.3</v>
      </c>
      <c r="C152" s="7">
        <v>0.5</v>
      </c>
      <c r="D152" s="28">
        <v>2.9016319095627248</v>
      </c>
      <c r="E152" s="28"/>
    </row>
    <row r="153" spans="1:5" x14ac:dyDescent="0.25">
      <c r="A153" s="11">
        <v>0.2</v>
      </c>
      <c r="B153" s="11">
        <v>0.3</v>
      </c>
      <c r="C153" s="7">
        <v>0.6</v>
      </c>
      <c r="D153" s="28">
        <v>2.7724266736238481</v>
      </c>
      <c r="E153" s="28"/>
    </row>
    <row r="154" spans="1:5" x14ac:dyDescent="0.25">
      <c r="A154" s="11">
        <v>0.2</v>
      </c>
      <c r="B154" s="11">
        <v>0.3</v>
      </c>
      <c r="C154" s="7">
        <v>0.7</v>
      </c>
      <c r="D154" s="28">
        <v>2.6528387308390609</v>
      </c>
      <c r="E154" s="28"/>
    </row>
    <row r="155" spans="1:5" x14ac:dyDescent="0.25">
      <c r="A155" s="11">
        <v>0.2</v>
      </c>
      <c r="B155" s="11">
        <v>0.3</v>
      </c>
      <c r="C155" s="7">
        <v>0.8</v>
      </c>
      <c r="D155" s="28">
        <v>2.5445670057774525</v>
      </c>
      <c r="E155" s="28"/>
    </row>
    <row r="156" spans="1:5" x14ac:dyDescent="0.25">
      <c r="A156" s="11">
        <v>0.2</v>
      </c>
      <c r="B156" s="11">
        <v>0.3</v>
      </c>
      <c r="C156" s="7">
        <v>0.9</v>
      </c>
      <c r="D156" s="28">
        <v>2.4690079015126547</v>
      </c>
      <c r="E156" s="28"/>
    </row>
    <row r="157" spans="1:5" x14ac:dyDescent="0.25">
      <c r="A157" s="11">
        <v>0.2</v>
      </c>
      <c r="B157" s="11">
        <v>0.4</v>
      </c>
      <c r="C157" s="7">
        <v>0.1</v>
      </c>
      <c r="D157" s="28">
        <v>3.7391177585014943</v>
      </c>
      <c r="E157" s="28"/>
    </row>
    <row r="158" spans="1:5" x14ac:dyDescent="0.25">
      <c r="A158" s="11">
        <v>0.2</v>
      </c>
      <c r="B158" s="11">
        <v>0.4</v>
      </c>
      <c r="C158" s="7">
        <v>0.2</v>
      </c>
      <c r="D158" s="28">
        <v>3.5352165140996799</v>
      </c>
      <c r="E158" s="28"/>
    </row>
    <row r="159" spans="1:5" x14ac:dyDescent="0.25">
      <c r="A159" s="11">
        <v>0.2</v>
      </c>
      <c r="B159" s="11">
        <v>0.4</v>
      </c>
      <c r="C159" s="7">
        <v>0.3</v>
      </c>
      <c r="D159" s="28">
        <v>3.3398513554706128</v>
      </c>
      <c r="E159" s="28"/>
    </row>
    <row r="160" spans="1:5" x14ac:dyDescent="0.25">
      <c r="A160" s="11">
        <v>0.2</v>
      </c>
      <c r="B160" s="11">
        <v>0.4</v>
      </c>
      <c r="C160" s="7">
        <v>0.4</v>
      </c>
      <c r="D160" s="28">
        <v>3.1646990872833021</v>
      </c>
      <c r="E160" s="28"/>
    </row>
    <row r="161" spans="1:5" x14ac:dyDescent="0.25">
      <c r="A161" s="11">
        <v>0.2</v>
      </c>
      <c r="B161" s="11">
        <v>0.4</v>
      </c>
      <c r="C161" s="7">
        <v>0.5</v>
      </c>
      <c r="D161" s="28">
        <v>3.013500528446361</v>
      </c>
      <c r="E161" s="28"/>
    </row>
    <row r="162" spans="1:5" x14ac:dyDescent="0.25">
      <c r="A162" s="11">
        <v>0.2</v>
      </c>
      <c r="B162" s="11">
        <v>0.4</v>
      </c>
      <c r="C162" s="7">
        <v>0.6</v>
      </c>
      <c r="D162" s="28">
        <v>2.8714672108560064</v>
      </c>
      <c r="E162" s="28"/>
    </row>
    <row r="163" spans="1:5" x14ac:dyDescent="0.25">
      <c r="A163" s="11">
        <v>0.2</v>
      </c>
      <c r="B163" s="11">
        <v>0.4</v>
      </c>
      <c r="C163" s="7">
        <v>0.7</v>
      </c>
      <c r="D163" s="28">
        <v>2.740475008326718</v>
      </c>
      <c r="E163" s="28"/>
    </row>
    <row r="164" spans="1:5" x14ac:dyDescent="0.25">
      <c r="A164" s="11">
        <v>0.2</v>
      </c>
      <c r="B164" s="11">
        <v>0.4</v>
      </c>
      <c r="C164" s="7">
        <v>0.8</v>
      </c>
      <c r="D164" s="28">
        <v>2.6223860825481138</v>
      </c>
      <c r="E164" s="28"/>
    </row>
    <row r="165" spans="1:5" x14ac:dyDescent="0.25">
      <c r="A165" s="11">
        <v>0.2</v>
      </c>
      <c r="B165" s="11">
        <v>0.4</v>
      </c>
      <c r="C165" s="7">
        <v>0.9</v>
      </c>
      <c r="D165" s="28">
        <v>2.541011340315201</v>
      </c>
      <c r="E165" s="28"/>
    </row>
    <row r="166" spans="1:5" x14ac:dyDescent="0.25">
      <c r="A166" s="11">
        <v>0.2</v>
      </c>
      <c r="B166" s="11">
        <v>0.5</v>
      </c>
      <c r="C166" s="7">
        <v>0.1</v>
      </c>
      <c r="D166" s="28">
        <v>3.8616000494985734</v>
      </c>
      <c r="E166" s="28"/>
    </row>
    <row r="167" spans="1:5" x14ac:dyDescent="0.25">
      <c r="A167" s="11">
        <v>0.2</v>
      </c>
      <c r="B167" s="11">
        <v>0.5</v>
      </c>
      <c r="C167" s="7">
        <v>0.2</v>
      </c>
      <c r="D167" s="28">
        <v>3.6392474032685049</v>
      </c>
      <c r="E167" s="28"/>
    </row>
    <row r="168" spans="1:5" x14ac:dyDescent="0.25">
      <c r="A168" s="11">
        <v>0.2</v>
      </c>
      <c r="B168" s="11">
        <v>0.5</v>
      </c>
      <c r="C168" s="7">
        <v>0.3</v>
      </c>
      <c r="D168" s="28">
        <v>3.4257934031173152</v>
      </c>
      <c r="E168" s="28"/>
    </row>
    <row r="169" spans="1:5" x14ac:dyDescent="0.25">
      <c r="A169" s="11">
        <v>0.2</v>
      </c>
      <c r="B169" s="11">
        <v>0.5</v>
      </c>
      <c r="C169" s="7">
        <v>0.4</v>
      </c>
      <c r="D169" s="28">
        <v>3.2505181684881004</v>
      </c>
      <c r="E169" s="28"/>
    </row>
    <row r="170" spans="1:5" x14ac:dyDescent="0.25">
      <c r="A170" s="11">
        <v>0.2</v>
      </c>
      <c r="B170" s="11">
        <v>0.5</v>
      </c>
      <c r="C170" s="7">
        <v>0.5</v>
      </c>
      <c r="D170" s="28">
        <v>3.0873188368590703</v>
      </c>
      <c r="E170" s="28"/>
    </row>
    <row r="171" spans="1:5" x14ac:dyDescent="0.25">
      <c r="A171" s="11">
        <v>0.2</v>
      </c>
      <c r="B171" s="11">
        <v>0.5</v>
      </c>
      <c r="C171" s="7">
        <v>0.6</v>
      </c>
      <c r="D171" s="28">
        <v>2.9346845107678208</v>
      </c>
      <c r="E171" s="28"/>
    </row>
    <row r="172" spans="1:5" x14ac:dyDescent="0.25">
      <c r="A172" s="11">
        <v>0.2</v>
      </c>
      <c r="B172" s="11">
        <v>0.5</v>
      </c>
      <c r="C172" s="7">
        <v>0.7</v>
      </c>
      <c r="D172" s="28">
        <v>2.7946217403117792</v>
      </c>
      <c r="E172" s="28"/>
    </row>
    <row r="173" spans="1:5" x14ac:dyDescent="0.25">
      <c r="A173" s="11">
        <v>0.2</v>
      </c>
      <c r="B173" s="11">
        <v>0.5</v>
      </c>
      <c r="C173" s="7">
        <v>0.8</v>
      </c>
      <c r="D173" s="28">
        <v>2.6761004822631227</v>
      </c>
      <c r="E173" s="28"/>
    </row>
    <row r="174" spans="1:5" x14ac:dyDescent="0.25">
      <c r="A174" s="11">
        <v>0.2</v>
      </c>
      <c r="B174" s="11">
        <v>0.5</v>
      </c>
      <c r="C174" s="7">
        <v>0.9</v>
      </c>
      <c r="D174" s="28">
        <v>2.5874934955022022</v>
      </c>
      <c r="E174" s="28"/>
    </row>
    <row r="175" spans="1:5" x14ac:dyDescent="0.25">
      <c r="A175" s="11">
        <v>0.2</v>
      </c>
      <c r="B175" s="11">
        <v>0.6</v>
      </c>
      <c r="C175" s="7">
        <v>0.1</v>
      </c>
      <c r="D175" s="28">
        <v>3.9203007201876177</v>
      </c>
      <c r="E175" s="28"/>
    </row>
    <row r="176" spans="1:5" x14ac:dyDescent="0.25">
      <c r="A176" s="11">
        <v>0.2</v>
      </c>
      <c r="B176" s="11">
        <v>0.6</v>
      </c>
      <c r="C176" s="7">
        <v>0.2</v>
      </c>
      <c r="D176" s="28">
        <v>3.6825019504544176</v>
      </c>
      <c r="E176" s="28"/>
    </row>
    <row r="177" spans="1:5" x14ac:dyDescent="0.25">
      <c r="A177" s="11">
        <v>0.2</v>
      </c>
      <c r="B177" s="11">
        <v>0.6</v>
      </c>
      <c r="C177" s="7">
        <v>0.3</v>
      </c>
      <c r="D177" s="28">
        <v>3.4845702752324654</v>
      </c>
      <c r="E177" s="28"/>
    </row>
    <row r="178" spans="1:5" x14ac:dyDescent="0.25">
      <c r="A178" s="11">
        <v>0.2</v>
      </c>
      <c r="B178" s="11">
        <v>0.6</v>
      </c>
      <c r="C178" s="7">
        <v>0.4</v>
      </c>
      <c r="D178" s="28">
        <v>3.3018262991362608</v>
      </c>
      <c r="E178" s="28"/>
    </row>
    <row r="179" spans="1:5" x14ac:dyDescent="0.25">
      <c r="A179" s="11">
        <v>0.2</v>
      </c>
      <c r="B179" s="11">
        <v>0.6</v>
      </c>
      <c r="C179" s="7">
        <v>0.5</v>
      </c>
      <c r="D179" s="28">
        <v>3.1289817166777483</v>
      </c>
      <c r="E179" s="28"/>
    </row>
    <row r="180" spans="1:5" x14ac:dyDescent="0.25">
      <c r="A180" s="11">
        <v>0.2</v>
      </c>
      <c r="B180" s="11">
        <v>0.6</v>
      </c>
      <c r="C180" s="7">
        <v>0.6</v>
      </c>
      <c r="D180" s="28">
        <v>2.9681595437771491</v>
      </c>
      <c r="E180" s="28"/>
    </row>
    <row r="181" spans="1:5" x14ac:dyDescent="0.25">
      <c r="A181" s="11">
        <v>0.2</v>
      </c>
      <c r="B181" s="11">
        <v>0.6</v>
      </c>
      <c r="C181" s="7">
        <v>0.7</v>
      </c>
      <c r="D181" s="28">
        <v>2.82145375148469</v>
      </c>
      <c r="E181" s="28"/>
    </row>
    <row r="182" spans="1:5" x14ac:dyDescent="0.25">
      <c r="A182" s="11">
        <v>0.2</v>
      </c>
      <c r="B182" s="11">
        <v>0.6</v>
      </c>
      <c r="C182" s="7">
        <v>0.8</v>
      </c>
      <c r="D182" s="28">
        <v>2.7044359145352055</v>
      </c>
      <c r="E182" s="28"/>
    </row>
    <row r="183" spans="1:5" x14ac:dyDescent="0.25">
      <c r="A183" s="11">
        <v>0.2</v>
      </c>
      <c r="B183" s="11">
        <v>0.6</v>
      </c>
      <c r="C183" s="7">
        <v>0.9</v>
      </c>
      <c r="D183" s="28">
        <v>2.6068435111474551</v>
      </c>
      <c r="E183" s="28"/>
    </row>
    <row r="184" spans="1:5" x14ac:dyDescent="0.25">
      <c r="A184" s="11">
        <v>0.2</v>
      </c>
      <c r="B184" s="11">
        <v>0.7</v>
      </c>
      <c r="C184" s="7">
        <v>0.1</v>
      </c>
      <c r="D184" s="28">
        <v>3.9296131135465493</v>
      </c>
      <c r="E184" s="28"/>
    </row>
    <row r="185" spans="1:5" x14ac:dyDescent="0.25">
      <c r="A185" s="11">
        <v>0.2</v>
      </c>
      <c r="B185" s="11">
        <v>0.7</v>
      </c>
      <c r="C185" s="7">
        <v>0.2</v>
      </c>
      <c r="D185" s="28">
        <v>3.7176158811492384</v>
      </c>
      <c r="E185" s="28"/>
    </row>
    <row r="186" spans="1:5" x14ac:dyDescent="0.25">
      <c r="A186" s="11">
        <v>0.2</v>
      </c>
      <c r="B186" s="11">
        <v>0.7</v>
      </c>
      <c r="C186" s="7">
        <v>0.3</v>
      </c>
      <c r="D186" s="28">
        <v>3.5170894783805005</v>
      </c>
      <c r="E186" s="28"/>
    </row>
    <row r="187" spans="1:5" x14ac:dyDescent="0.25">
      <c r="A187" s="11">
        <v>0.2</v>
      </c>
      <c r="B187" s="11">
        <v>0.7</v>
      </c>
      <c r="C187" s="7">
        <v>0.4</v>
      </c>
      <c r="D187" s="28">
        <v>3.3256321053392948</v>
      </c>
      <c r="E187" s="28"/>
    </row>
    <row r="188" spans="1:5" x14ac:dyDescent="0.25">
      <c r="A188" s="11">
        <v>0.2</v>
      </c>
      <c r="B188" s="11">
        <v>0.7</v>
      </c>
      <c r="C188" s="7">
        <v>0.5</v>
      </c>
      <c r="D188" s="28">
        <v>3.1454562332852958</v>
      </c>
      <c r="E188" s="28"/>
    </row>
    <row r="189" spans="1:5" x14ac:dyDescent="0.25">
      <c r="A189" s="11">
        <v>0.2</v>
      </c>
      <c r="B189" s="11">
        <v>0.7</v>
      </c>
      <c r="C189" s="7">
        <v>0.6</v>
      </c>
      <c r="D189" s="28">
        <v>2.9787365660849248</v>
      </c>
      <c r="E189" s="28"/>
    </row>
    <row r="190" spans="1:5" x14ac:dyDescent="0.25">
      <c r="A190" s="11">
        <v>0.2</v>
      </c>
      <c r="B190" s="11">
        <v>0.7</v>
      </c>
      <c r="C190" s="7">
        <v>0.7</v>
      </c>
      <c r="D190" s="28">
        <v>2.8276080878577603</v>
      </c>
      <c r="E190" s="28"/>
    </row>
    <row r="191" spans="1:5" x14ac:dyDescent="0.25">
      <c r="A191" s="11">
        <v>0.2</v>
      </c>
      <c r="B191" s="11">
        <v>0.7</v>
      </c>
      <c r="C191" s="7">
        <v>0.8</v>
      </c>
      <c r="D191" s="28">
        <v>2.7054605689343334</v>
      </c>
      <c r="E191" s="28"/>
    </row>
    <row r="192" spans="1:5" x14ac:dyDescent="0.25">
      <c r="A192" s="11">
        <v>0.2</v>
      </c>
      <c r="B192" s="11">
        <v>0.7</v>
      </c>
      <c r="C192" s="7">
        <v>0.9</v>
      </c>
      <c r="D192" s="28">
        <v>2.603717059710394</v>
      </c>
      <c r="E192" s="28"/>
    </row>
    <row r="193" spans="1:5" x14ac:dyDescent="0.25">
      <c r="A193" s="11">
        <v>0.2</v>
      </c>
      <c r="B193" s="11">
        <v>0.8</v>
      </c>
      <c r="C193" s="7">
        <v>0.1</v>
      </c>
      <c r="D193" s="28">
        <v>3.9522482427574133</v>
      </c>
      <c r="E193" s="28"/>
    </row>
    <row r="194" spans="1:5" x14ac:dyDescent="0.25">
      <c r="A194" s="11">
        <v>0.2</v>
      </c>
      <c r="B194" s="11">
        <v>0.8</v>
      </c>
      <c r="C194" s="7">
        <v>0.2</v>
      </c>
      <c r="D194" s="28">
        <v>3.7356757989183986</v>
      </c>
      <c r="E194" s="28"/>
    </row>
    <row r="195" spans="1:5" x14ac:dyDescent="0.25">
      <c r="A195" s="11">
        <v>0.2</v>
      </c>
      <c r="B195" s="11">
        <v>0.8</v>
      </c>
      <c r="C195" s="7">
        <v>0.3</v>
      </c>
      <c r="D195" s="28">
        <v>3.5272114731359543</v>
      </c>
      <c r="E195" s="28"/>
    </row>
    <row r="196" spans="1:5" x14ac:dyDescent="0.25">
      <c r="A196" s="11">
        <v>0.2</v>
      </c>
      <c r="B196" s="11">
        <v>0.8</v>
      </c>
      <c r="C196" s="7">
        <v>0.4</v>
      </c>
      <c r="D196" s="28">
        <v>3.3291323092930867</v>
      </c>
      <c r="E196" s="28"/>
    </row>
    <row r="197" spans="1:5" x14ac:dyDescent="0.25">
      <c r="A197" s="11">
        <v>0.2</v>
      </c>
      <c r="B197" s="11">
        <v>0.8</v>
      </c>
      <c r="C197" s="7">
        <v>0.5</v>
      </c>
      <c r="D197" s="28">
        <v>3.1436667079513456</v>
      </c>
      <c r="E197" s="28"/>
    </row>
    <row r="198" spans="1:5" x14ac:dyDescent="0.25">
      <c r="A198" s="11">
        <v>0.2</v>
      </c>
      <c r="B198" s="11">
        <v>0.8</v>
      </c>
      <c r="C198" s="7">
        <v>0.6</v>
      </c>
      <c r="D198" s="28">
        <v>2.9729934265722311</v>
      </c>
      <c r="E198" s="28"/>
    </row>
    <row r="199" spans="1:5" x14ac:dyDescent="0.25">
      <c r="A199" s="11">
        <v>0.2</v>
      </c>
      <c r="B199" s="11">
        <v>0.8</v>
      </c>
      <c r="C199" s="7">
        <v>0.7</v>
      </c>
      <c r="D199" s="28">
        <v>2.8192390811853252</v>
      </c>
      <c r="E199" s="28"/>
    </row>
    <row r="200" spans="1:5" x14ac:dyDescent="0.25">
      <c r="A200" s="11">
        <v>0.2</v>
      </c>
      <c r="B200" s="11">
        <v>0.8</v>
      </c>
      <c r="C200" s="7">
        <v>0.8</v>
      </c>
      <c r="D200" s="28">
        <v>2.6896188725501129</v>
      </c>
      <c r="E200" s="28"/>
    </row>
    <row r="201" spans="1:5" x14ac:dyDescent="0.25">
      <c r="A201" s="11">
        <v>0.2</v>
      </c>
      <c r="B201" s="11">
        <v>0.8</v>
      </c>
      <c r="C201" s="7">
        <v>0.9</v>
      </c>
      <c r="D201" s="28">
        <v>2.6108445731468479</v>
      </c>
      <c r="E201" s="28"/>
    </row>
    <row r="202" spans="1:5" x14ac:dyDescent="0.25">
      <c r="A202" s="11">
        <v>0.2</v>
      </c>
      <c r="B202" s="11">
        <v>0.9</v>
      </c>
      <c r="C202" s="7">
        <v>0.1</v>
      </c>
      <c r="D202" s="28">
        <v>3.9605079011111584</v>
      </c>
      <c r="E202" s="28"/>
    </row>
    <row r="203" spans="1:5" x14ac:dyDescent="0.25">
      <c r="A203" s="11">
        <v>0.2</v>
      </c>
      <c r="B203" s="11">
        <v>0.9</v>
      </c>
      <c r="C203" s="7">
        <v>0.2</v>
      </c>
      <c r="D203" s="28">
        <v>3.736518200825321</v>
      </c>
      <c r="E203" s="28"/>
    </row>
    <row r="204" spans="1:5" x14ac:dyDescent="0.25">
      <c r="A204" s="11">
        <v>0.2</v>
      </c>
      <c r="B204" s="11">
        <v>0.9</v>
      </c>
      <c r="C204" s="7">
        <v>0.3</v>
      </c>
      <c r="D204" s="28">
        <v>3.5219053841534125</v>
      </c>
      <c r="E204" s="28"/>
    </row>
    <row r="205" spans="1:5" x14ac:dyDescent="0.25">
      <c r="A205" s="11">
        <v>0.2</v>
      </c>
      <c r="B205" s="11">
        <v>0.9</v>
      </c>
      <c r="C205" s="7">
        <v>0.4</v>
      </c>
      <c r="D205" s="28">
        <v>3.318927408683058</v>
      </c>
      <c r="E205" s="28"/>
    </row>
    <row r="206" spans="1:5" x14ac:dyDescent="0.25">
      <c r="A206" s="11">
        <v>0.2</v>
      </c>
      <c r="B206" s="11">
        <v>0.9</v>
      </c>
      <c r="C206" s="7">
        <v>0.5</v>
      </c>
      <c r="D206" s="28">
        <v>3.1297801872362045</v>
      </c>
      <c r="E206" s="28"/>
    </row>
    <row r="207" spans="1:5" x14ac:dyDescent="0.25">
      <c r="A207" s="11">
        <v>0.2</v>
      </c>
      <c r="B207" s="11">
        <v>0.9</v>
      </c>
      <c r="C207" s="7">
        <v>0.6</v>
      </c>
      <c r="D207" s="28">
        <v>2.9565965310116358</v>
      </c>
      <c r="E207" s="28"/>
    </row>
    <row r="208" spans="1:5" x14ac:dyDescent="0.25">
      <c r="A208" s="11">
        <v>0.2</v>
      </c>
      <c r="B208" s="11">
        <v>0.9</v>
      </c>
      <c r="C208" s="7">
        <v>0.7</v>
      </c>
      <c r="D208" s="28">
        <v>2.8110376352127462</v>
      </c>
      <c r="E208" s="28"/>
    </row>
    <row r="209" spans="1:5" x14ac:dyDescent="0.25">
      <c r="A209" s="11">
        <v>0.2</v>
      </c>
      <c r="B209" s="11">
        <v>0.9</v>
      </c>
      <c r="C209" s="7">
        <v>0.8</v>
      </c>
      <c r="D209" s="28">
        <v>2.6841269678043891</v>
      </c>
      <c r="E209" s="28"/>
    </row>
    <row r="210" spans="1:5" ht="15.75" thickBot="1" x14ac:dyDescent="0.3">
      <c r="A210" s="11">
        <v>0.2</v>
      </c>
      <c r="B210" s="27">
        <v>0.9</v>
      </c>
      <c r="C210" s="9">
        <v>0.9</v>
      </c>
      <c r="D210" s="28">
        <v>2.71291520575907</v>
      </c>
      <c r="E210" s="28"/>
    </row>
    <row r="211" spans="1:5" x14ac:dyDescent="0.25">
      <c r="A211" s="11">
        <v>0.3</v>
      </c>
      <c r="B211" s="11">
        <v>0.1</v>
      </c>
      <c r="C211" s="7">
        <v>0.1</v>
      </c>
      <c r="D211" s="28">
        <v>3.4970739349342823</v>
      </c>
      <c r="E211" s="28"/>
    </row>
    <row r="212" spans="1:5" x14ac:dyDescent="0.25">
      <c r="A212" s="11">
        <v>0.3</v>
      </c>
      <c r="B212" s="11">
        <v>0.1</v>
      </c>
      <c r="C212" s="7">
        <v>0.2</v>
      </c>
      <c r="D212" s="28">
        <v>3.2505543104794175</v>
      </c>
      <c r="E212" s="28"/>
    </row>
    <row r="213" spans="1:5" x14ac:dyDescent="0.25">
      <c r="A213" s="11">
        <v>0.3</v>
      </c>
      <c r="B213" s="11">
        <v>0.1</v>
      </c>
      <c r="C213" s="7">
        <v>0.3</v>
      </c>
      <c r="D213" s="28">
        <v>3.0903843603275831</v>
      </c>
      <c r="E213" s="28"/>
    </row>
    <row r="214" spans="1:5" x14ac:dyDescent="0.25">
      <c r="A214" s="11">
        <v>0.3</v>
      </c>
      <c r="B214" s="11">
        <v>0.1</v>
      </c>
      <c r="C214" s="7">
        <v>0.4</v>
      </c>
      <c r="D214" s="28">
        <v>2.9373288964663731</v>
      </c>
      <c r="E214" s="28"/>
    </row>
    <row r="215" spans="1:5" x14ac:dyDescent="0.25">
      <c r="A215" s="11">
        <v>0.3</v>
      </c>
      <c r="B215" s="11">
        <v>0.1</v>
      </c>
      <c r="C215" s="7">
        <v>0.5</v>
      </c>
      <c r="D215" s="28">
        <v>2.7919087921567756</v>
      </c>
      <c r="E215" s="28"/>
    </row>
    <row r="216" spans="1:5" x14ac:dyDescent="0.25">
      <c r="A216" s="11">
        <v>0.3</v>
      </c>
      <c r="B216" s="11">
        <v>0.1</v>
      </c>
      <c r="C216" s="7">
        <v>0.6</v>
      </c>
      <c r="D216" s="28">
        <v>2.6546498202921565</v>
      </c>
      <c r="E216" s="28"/>
    </row>
    <row r="217" spans="1:5" x14ac:dyDescent="0.25">
      <c r="A217" s="11">
        <v>0.3</v>
      </c>
      <c r="B217" s="11">
        <v>0.1</v>
      </c>
      <c r="C217" s="7">
        <v>0.7</v>
      </c>
      <c r="D217" s="28">
        <v>2.52607865020904</v>
      </c>
      <c r="E217" s="28"/>
    </row>
    <row r="218" spans="1:5" x14ac:dyDescent="0.25">
      <c r="A218" s="11">
        <v>0.3</v>
      </c>
      <c r="B218" s="11">
        <v>0.1</v>
      </c>
      <c r="C218" s="7">
        <v>0.8</v>
      </c>
      <c r="D218" s="28">
        <v>2.4105924381258821</v>
      </c>
      <c r="E218" s="28"/>
    </row>
    <row r="219" spans="1:5" x14ac:dyDescent="0.25">
      <c r="A219" s="11">
        <v>0.3</v>
      </c>
      <c r="B219" s="11">
        <v>0.1</v>
      </c>
      <c r="C219" s="7">
        <v>0.9</v>
      </c>
      <c r="D219" s="28">
        <v>2.3571496239693208</v>
      </c>
      <c r="E219" s="28"/>
    </row>
    <row r="220" spans="1:5" x14ac:dyDescent="0.25">
      <c r="A220" s="11">
        <v>0.3</v>
      </c>
      <c r="B220" s="11">
        <v>0.2</v>
      </c>
      <c r="C220" s="7">
        <v>0.1</v>
      </c>
      <c r="D220" s="28">
        <v>3.629362180636261</v>
      </c>
      <c r="E220" s="28"/>
    </row>
    <row r="221" spans="1:5" x14ac:dyDescent="0.25">
      <c r="A221" s="11">
        <v>0.3</v>
      </c>
      <c r="B221" s="11">
        <v>0.2</v>
      </c>
      <c r="C221" s="7">
        <v>0.2</v>
      </c>
      <c r="D221" s="28">
        <v>3.445981151609411</v>
      </c>
      <c r="E221" s="28"/>
    </row>
    <row r="222" spans="1:5" x14ac:dyDescent="0.25">
      <c r="A222" s="11">
        <v>0.3</v>
      </c>
      <c r="B222" s="11">
        <v>0.2</v>
      </c>
      <c r="C222" s="7">
        <v>0.3</v>
      </c>
      <c r="D222" s="28">
        <v>3.270063952390013</v>
      </c>
      <c r="E222" s="28"/>
    </row>
    <row r="223" spans="1:5" x14ac:dyDescent="0.25">
      <c r="A223" s="11">
        <v>0.3</v>
      </c>
      <c r="B223" s="11">
        <v>0.2</v>
      </c>
      <c r="C223" s="7">
        <v>0.4</v>
      </c>
      <c r="D223" s="28">
        <v>3.1022216206054067</v>
      </c>
      <c r="E223" s="28"/>
    </row>
    <row r="224" spans="1:5" x14ac:dyDescent="0.25">
      <c r="A224" s="11">
        <v>0.3</v>
      </c>
      <c r="B224" s="11">
        <v>0.2</v>
      </c>
      <c r="C224" s="7">
        <v>0.5</v>
      </c>
      <c r="D224" s="28">
        <v>2.9430627970267342</v>
      </c>
      <c r="E224" s="28"/>
    </row>
    <row r="225" spans="1:5" x14ac:dyDescent="0.25">
      <c r="A225" s="11">
        <v>0.3</v>
      </c>
      <c r="B225" s="11">
        <v>0.2</v>
      </c>
      <c r="C225" s="7">
        <v>0.6</v>
      </c>
      <c r="D225" s="28">
        <v>2.7931899783144183</v>
      </c>
      <c r="E225" s="28"/>
    </row>
    <row r="226" spans="1:5" x14ac:dyDescent="0.25">
      <c r="A226" s="11">
        <v>0.3</v>
      </c>
      <c r="B226" s="11">
        <v>0.2</v>
      </c>
      <c r="C226" s="7">
        <v>0.7</v>
      </c>
      <c r="D226" s="28">
        <v>2.6531963814767816</v>
      </c>
      <c r="E226" s="28"/>
    </row>
    <row r="227" spans="1:5" x14ac:dyDescent="0.25">
      <c r="A227" s="11">
        <v>0.3</v>
      </c>
      <c r="B227" s="11">
        <v>0.2</v>
      </c>
      <c r="C227" s="7">
        <v>0.8</v>
      </c>
      <c r="D227" s="28">
        <v>2.5243963640923459</v>
      </c>
      <c r="E227" s="28"/>
    </row>
    <row r="228" spans="1:5" x14ac:dyDescent="0.25">
      <c r="A228" s="11">
        <v>0.3</v>
      </c>
      <c r="B228" s="11">
        <v>0.2</v>
      </c>
      <c r="C228" s="7">
        <v>0.9</v>
      </c>
      <c r="D228" s="28">
        <v>2.4118875894874341</v>
      </c>
      <c r="E228" s="28"/>
    </row>
    <row r="229" spans="1:5" x14ac:dyDescent="0.25">
      <c r="A229" s="11">
        <v>0.3</v>
      </c>
      <c r="B229" s="11">
        <v>0.3</v>
      </c>
      <c r="C229" s="7">
        <v>0.1</v>
      </c>
      <c r="D229" s="28">
        <v>3.8015300783579855</v>
      </c>
      <c r="E229" s="28"/>
    </row>
    <row r="230" spans="1:5" x14ac:dyDescent="0.25">
      <c r="A230" s="11">
        <v>0.3</v>
      </c>
      <c r="B230" s="11">
        <v>0.3</v>
      </c>
      <c r="C230" s="7">
        <v>0.2</v>
      </c>
      <c r="D230" s="28">
        <v>3.6001417651746124</v>
      </c>
      <c r="E230" s="28"/>
    </row>
    <row r="231" spans="1:5" x14ac:dyDescent="0.25">
      <c r="A231" s="11">
        <v>0.3</v>
      </c>
      <c r="B231" s="11">
        <v>0.3</v>
      </c>
      <c r="C231" s="7">
        <v>0.3</v>
      </c>
      <c r="D231" s="28">
        <v>3.4072403898129395</v>
      </c>
      <c r="E231" s="28"/>
    </row>
    <row r="232" spans="1:5" x14ac:dyDescent="0.25">
      <c r="A232" s="11">
        <v>0.3</v>
      </c>
      <c r="B232" s="11">
        <v>0.3</v>
      </c>
      <c r="C232" s="7">
        <v>0.4</v>
      </c>
      <c r="D232" s="28">
        <v>3.223484134597864</v>
      </c>
      <c r="E232" s="28"/>
    </row>
    <row r="233" spans="1:5" x14ac:dyDescent="0.25">
      <c r="A233" s="11">
        <v>0.3</v>
      </c>
      <c r="B233" s="11">
        <v>0.3</v>
      </c>
      <c r="C233" s="7">
        <v>0.5</v>
      </c>
      <c r="D233" s="28">
        <v>3.0495171265341163</v>
      </c>
      <c r="E233" s="28"/>
    </row>
    <row r="234" spans="1:5" x14ac:dyDescent="0.25">
      <c r="A234" s="11">
        <v>0.3</v>
      </c>
      <c r="B234" s="11">
        <v>0.3</v>
      </c>
      <c r="C234" s="7">
        <v>0.6</v>
      </c>
      <c r="D234" s="28">
        <v>2.8859665267957051</v>
      </c>
      <c r="E234" s="28"/>
    </row>
    <row r="235" spans="1:5" x14ac:dyDescent="0.25">
      <c r="A235" s="11">
        <v>0.3</v>
      </c>
      <c r="B235" s="11">
        <v>0.3</v>
      </c>
      <c r="C235" s="7">
        <v>0.7</v>
      </c>
      <c r="D235" s="28">
        <v>2.7334401216013458</v>
      </c>
      <c r="E235" s="28"/>
    </row>
    <row r="236" spans="1:5" x14ac:dyDescent="0.25">
      <c r="A236" s="11">
        <v>0.3</v>
      </c>
      <c r="B236" s="11">
        <v>0.3</v>
      </c>
      <c r="C236" s="7">
        <v>0.8</v>
      </c>
      <c r="D236" s="28">
        <v>2.5991136768760574</v>
      </c>
      <c r="E236" s="28"/>
    </row>
    <row r="237" spans="1:5" x14ac:dyDescent="0.25">
      <c r="A237" s="11">
        <v>0.3</v>
      </c>
      <c r="B237" s="11">
        <v>0.3</v>
      </c>
      <c r="C237" s="7">
        <v>0.9</v>
      </c>
      <c r="D237" s="28">
        <v>2.4758594524880388</v>
      </c>
      <c r="E237" s="28"/>
    </row>
    <row r="238" spans="1:5" x14ac:dyDescent="0.25">
      <c r="A238" s="11">
        <v>0.3</v>
      </c>
      <c r="B238" s="11">
        <v>0.4</v>
      </c>
      <c r="C238" s="7">
        <v>0.1</v>
      </c>
      <c r="D238" s="28">
        <v>3.9122380565058608</v>
      </c>
      <c r="E238" s="28"/>
    </row>
    <row r="239" spans="1:5" x14ac:dyDescent="0.25">
      <c r="A239" s="11">
        <v>0.3</v>
      </c>
      <c r="B239" s="11">
        <v>0.4</v>
      </c>
      <c r="C239" s="7">
        <v>0.2</v>
      </c>
      <c r="D239" s="28">
        <v>3.6950590471605409</v>
      </c>
      <c r="E239" s="28"/>
    </row>
    <row r="240" spans="1:5" x14ac:dyDescent="0.25">
      <c r="A240" s="11">
        <v>0.3</v>
      </c>
      <c r="B240" s="11">
        <v>0.4</v>
      </c>
      <c r="C240" s="7">
        <v>0.3</v>
      </c>
      <c r="D240" s="28">
        <v>3.4875395585009428</v>
      </c>
      <c r="E240" s="28"/>
    </row>
    <row r="241" spans="1:5" x14ac:dyDescent="0.25">
      <c r="A241" s="11">
        <v>0.3</v>
      </c>
      <c r="B241" s="11">
        <v>0.4</v>
      </c>
      <c r="C241" s="7">
        <v>0.4</v>
      </c>
      <c r="D241" s="28">
        <v>3.2903263350746688</v>
      </c>
      <c r="E241" s="28"/>
    </row>
    <row r="242" spans="1:5" x14ac:dyDescent="0.25">
      <c r="A242" s="11">
        <v>0.3</v>
      </c>
      <c r="B242" s="11">
        <v>0.4</v>
      </c>
      <c r="C242" s="7">
        <v>0.5</v>
      </c>
      <c r="D242" s="28">
        <v>3.1040404780412261</v>
      </c>
      <c r="E242" s="28"/>
    </row>
    <row r="243" spans="1:5" x14ac:dyDescent="0.25">
      <c r="A243" s="11">
        <v>0.3</v>
      </c>
      <c r="B243" s="11">
        <v>0.4</v>
      </c>
      <c r="C243" s="7">
        <v>0.6</v>
      </c>
      <c r="D243" s="28">
        <v>2.9292753581035056</v>
      </c>
      <c r="E243" s="28"/>
    </row>
    <row r="244" spans="1:5" x14ac:dyDescent="0.25">
      <c r="A244" s="11">
        <v>0.3</v>
      </c>
      <c r="B244" s="11">
        <v>0.4</v>
      </c>
      <c r="C244" s="7">
        <v>0.7</v>
      </c>
      <c r="D244" s="28">
        <v>2.7665949240359091</v>
      </c>
      <c r="E244" s="28"/>
    </row>
    <row r="245" spans="1:5" x14ac:dyDescent="0.25">
      <c r="A245" s="11">
        <v>0.3</v>
      </c>
      <c r="B245" s="11">
        <v>0.4</v>
      </c>
      <c r="C245" s="7">
        <v>0.8</v>
      </c>
      <c r="D245" s="28">
        <v>2.6234171398784909</v>
      </c>
      <c r="E245" s="28"/>
    </row>
    <row r="246" spans="1:5" x14ac:dyDescent="0.25">
      <c r="A246" s="11">
        <v>0.3</v>
      </c>
      <c r="B246" s="11">
        <v>0.4</v>
      </c>
      <c r="C246" s="7">
        <v>0.9</v>
      </c>
      <c r="D246" s="28">
        <v>2.4993450043823588</v>
      </c>
      <c r="E246" s="28"/>
    </row>
    <row r="247" spans="1:5" x14ac:dyDescent="0.25">
      <c r="A247" s="11">
        <v>0.3</v>
      </c>
      <c r="B247" s="11">
        <v>0.5</v>
      </c>
      <c r="C247" s="7">
        <v>0.1</v>
      </c>
      <c r="D247" s="28">
        <v>3.975777667096593</v>
      </c>
      <c r="E247" s="28"/>
    </row>
    <row r="248" spans="1:5" x14ac:dyDescent="0.25">
      <c r="A248" s="11">
        <v>0.3</v>
      </c>
      <c r="B248" s="11">
        <v>0.5</v>
      </c>
      <c r="C248" s="7">
        <v>0.2</v>
      </c>
      <c r="D248" s="28">
        <v>3.7449959666670245</v>
      </c>
      <c r="E248" s="28"/>
    </row>
    <row r="249" spans="1:5" x14ac:dyDescent="0.25">
      <c r="A249" s="11">
        <v>0.3</v>
      </c>
      <c r="B249" s="11">
        <v>0.5</v>
      </c>
      <c r="C249" s="7">
        <v>0.3</v>
      </c>
      <c r="D249" s="28">
        <v>3.5250901943765864</v>
      </c>
      <c r="E249" s="28"/>
    </row>
    <row r="250" spans="1:5" x14ac:dyDescent="0.25">
      <c r="A250" s="11">
        <v>0.3</v>
      </c>
      <c r="B250" s="11">
        <v>0.5</v>
      </c>
      <c r="C250" s="7">
        <v>0.4</v>
      </c>
      <c r="D250" s="28">
        <v>3.3166357673983944</v>
      </c>
      <c r="E250" s="28"/>
    </row>
    <row r="251" spans="1:5" x14ac:dyDescent="0.25">
      <c r="A251" s="11">
        <v>0.3</v>
      </c>
      <c r="B251" s="11">
        <v>0.5</v>
      </c>
      <c r="C251" s="7">
        <v>0.5</v>
      </c>
      <c r="D251" s="28">
        <v>3.1201707813964825</v>
      </c>
      <c r="E251" s="28"/>
    </row>
    <row r="252" spans="1:5" x14ac:dyDescent="0.25">
      <c r="A252" s="11">
        <v>0.3</v>
      </c>
      <c r="B252" s="11">
        <v>0.5</v>
      </c>
      <c r="C252" s="7">
        <v>0.6</v>
      </c>
      <c r="D252" s="28">
        <v>2.9361949060150039</v>
      </c>
      <c r="E252" s="28"/>
    </row>
    <row r="253" spans="1:5" x14ac:dyDescent="0.25">
      <c r="A253" s="11">
        <v>0.3</v>
      </c>
      <c r="B253" s="11">
        <v>0.5</v>
      </c>
      <c r="C253" s="7">
        <v>0.7</v>
      </c>
      <c r="D253" s="28">
        <v>2.7685865689110587</v>
      </c>
      <c r="E253" s="28"/>
    </row>
    <row r="254" spans="1:5" x14ac:dyDescent="0.25">
      <c r="A254" s="11">
        <v>0.3</v>
      </c>
      <c r="B254" s="11">
        <v>0.5</v>
      </c>
      <c r="C254" s="7">
        <v>0.8</v>
      </c>
      <c r="D254" s="28">
        <v>2.6173807261332787</v>
      </c>
      <c r="E254" s="28"/>
    </row>
    <row r="255" spans="1:5" x14ac:dyDescent="0.25">
      <c r="A255" s="11">
        <v>0.3</v>
      </c>
      <c r="B255" s="11">
        <v>0.5</v>
      </c>
      <c r="C255" s="7">
        <v>0.9</v>
      </c>
      <c r="D255" s="28">
        <v>2.4903132521107731</v>
      </c>
      <c r="E255" s="28"/>
    </row>
    <row r="256" spans="1:5" x14ac:dyDescent="0.25">
      <c r="A256" s="11">
        <v>0.3</v>
      </c>
      <c r="B256" s="11">
        <v>0.6</v>
      </c>
      <c r="C256" s="7">
        <v>0.1</v>
      </c>
      <c r="D256" s="28">
        <v>4.0076379139247749</v>
      </c>
      <c r="E256" s="28"/>
    </row>
    <row r="257" spans="1:5" x14ac:dyDescent="0.25">
      <c r="A257" s="11">
        <v>0.3</v>
      </c>
      <c r="B257" s="11">
        <v>0.6</v>
      </c>
      <c r="C257" s="7">
        <v>0.2</v>
      </c>
      <c r="D257" s="28">
        <v>3.7648919129656835</v>
      </c>
      <c r="E257" s="28"/>
    </row>
    <row r="258" spans="1:5" x14ac:dyDescent="0.25">
      <c r="A258" s="11">
        <v>0.3</v>
      </c>
      <c r="B258" s="11">
        <v>0.6</v>
      </c>
      <c r="C258" s="7">
        <v>0.3</v>
      </c>
      <c r="D258" s="28">
        <v>3.5341984117842853</v>
      </c>
      <c r="E258" s="28"/>
    </row>
    <row r="259" spans="1:5" x14ac:dyDescent="0.25">
      <c r="A259" s="11">
        <v>0.3</v>
      </c>
      <c r="B259" s="11">
        <v>0.6</v>
      </c>
      <c r="C259" s="7">
        <v>0.4</v>
      </c>
      <c r="D259" s="28">
        <v>3.3160016059427302</v>
      </c>
      <c r="E259" s="28"/>
    </row>
    <row r="260" spans="1:5" x14ac:dyDescent="0.25">
      <c r="A260" s="11">
        <v>0.3</v>
      </c>
      <c r="B260" s="11">
        <v>0.6</v>
      </c>
      <c r="C260" s="7">
        <v>0.5</v>
      </c>
      <c r="D260" s="28">
        <v>3.110696958979557</v>
      </c>
      <c r="E260" s="28"/>
    </row>
    <row r="261" spans="1:5" x14ac:dyDescent="0.25">
      <c r="A261" s="11">
        <v>0.3</v>
      </c>
      <c r="B261" s="11">
        <v>0.6</v>
      </c>
      <c r="C261" s="7">
        <v>0.6</v>
      </c>
      <c r="D261" s="28">
        <v>2.9203830588071127</v>
      </c>
      <c r="E261" s="28"/>
    </row>
    <row r="262" spans="1:5" x14ac:dyDescent="0.25">
      <c r="A262" s="11">
        <v>0.3</v>
      </c>
      <c r="B262" s="11">
        <v>0.6</v>
      </c>
      <c r="C262" s="7">
        <v>0.7</v>
      </c>
      <c r="D262" s="28">
        <v>2.7520344144277038</v>
      </c>
      <c r="E262" s="28"/>
    </row>
    <row r="263" spans="1:5" x14ac:dyDescent="0.25">
      <c r="A263" s="11">
        <v>0.3</v>
      </c>
      <c r="B263" s="11">
        <v>0.6</v>
      </c>
      <c r="C263" s="7">
        <v>0.8</v>
      </c>
      <c r="D263" s="28">
        <v>2.5898017808546174</v>
      </c>
      <c r="E263" s="28"/>
    </row>
    <row r="264" spans="1:5" x14ac:dyDescent="0.25">
      <c r="A264" s="11">
        <v>0.3</v>
      </c>
      <c r="B264" s="11">
        <v>0.6</v>
      </c>
      <c r="C264" s="7">
        <v>0.9</v>
      </c>
      <c r="D264" s="28">
        <v>2.4563008027112412</v>
      </c>
      <c r="E264" s="28"/>
    </row>
    <row r="265" spans="1:5" x14ac:dyDescent="0.25">
      <c r="A265" s="11">
        <v>0.3</v>
      </c>
      <c r="B265" s="11">
        <v>0.7</v>
      </c>
      <c r="C265" s="7">
        <v>0.1</v>
      </c>
      <c r="D265" s="28">
        <v>4.0212106171559769</v>
      </c>
      <c r="E265" s="28"/>
    </row>
    <row r="266" spans="1:5" x14ac:dyDescent="0.25">
      <c r="A266" s="11">
        <v>0.3</v>
      </c>
      <c r="B266" s="11">
        <v>0.7</v>
      </c>
      <c r="C266" s="7">
        <v>0.2</v>
      </c>
      <c r="D266" s="28">
        <v>3.7673260539134374</v>
      </c>
      <c r="E266" s="28"/>
    </row>
    <row r="267" spans="1:5" x14ac:dyDescent="0.25">
      <c r="A267" s="11">
        <v>0.3</v>
      </c>
      <c r="B267" s="11">
        <v>0.7</v>
      </c>
      <c r="C267" s="7">
        <v>0.3</v>
      </c>
      <c r="D267" s="28">
        <v>3.5265703192176785</v>
      </c>
      <c r="E267" s="28"/>
    </row>
    <row r="268" spans="1:5" x14ac:dyDescent="0.25">
      <c r="A268" s="11">
        <v>0.3</v>
      </c>
      <c r="B268" s="11">
        <v>0.7</v>
      </c>
      <c r="C268" s="7">
        <v>0.4</v>
      </c>
      <c r="D268" s="28">
        <v>3.2991985504654409</v>
      </c>
      <c r="E268" s="28"/>
    </row>
    <row r="269" spans="1:5" x14ac:dyDescent="0.25">
      <c r="A269" s="11">
        <v>0.3</v>
      </c>
      <c r="B269" s="11">
        <v>0.7</v>
      </c>
      <c r="C269" s="7">
        <v>0.5</v>
      </c>
      <c r="D269" s="28">
        <v>3.0865268274355531</v>
      </c>
      <c r="E269" s="28"/>
    </row>
    <row r="270" spans="1:5" x14ac:dyDescent="0.25">
      <c r="A270" s="11">
        <v>0.3</v>
      </c>
      <c r="B270" s="11">
        <v>0.7</v>
      </c>
      <c r="C270" s="7">
        <v>0.6</v>
      </c>
      <c r="D270" s="28">
        <v>2.899770257614934</v>
      </c>
      <c r="E270" s="28"/>
    </row>
    <row r="271" spans="1:5" x14ac:dyDescent="0.25">
      <c r="A271" s="11">
        <v>0.3</v>
      </c>
      <c r="B271" s="11">
        <v>0.7</v>
      </c>
      <c r="C271" s="7">
        <v>0.7</v>
      </c>
      <c r="D271" s="28">
        <v>2.7190755382235587</v>
      </c>
      <c r="E271" s="28"/>
    </row>
    <row r="272" spans="1:5" x14ac:dyDescent="0.25">
      <c r="A272" s="11">
        <v>0.3</v>
      </c>
      <c r="B272" s="11">
        <v>0.7</v>
      </c>
      <c r="C272" s="7">
        <v>0.8</v>
      </c>
      <c r="D272" s="28">
        <v>2.5430357281635261</v>
      </c>
      <c r="E272" s="28"/>
    </row>
    <row r="273" spans="1:5" x14ac:dyDescent="0.25">
      <c r="A273" s="11">
        <v>0.3</v>
      </c>
      <c r="B273" s="11">
        <v>0.7</v>
      </c>
      <c r="C273" s="7">
        <v>0.9</v>
      </c>
      <c r="D273" s="28">
        <v>2.4354080949575478</v>
      </c>
      <c r="E273" s="28"/>
    </row>
    <row r="274" spans="1:5" x14ac:dyDescent="0.25">
      <c r="A274" s="11">
        <v>0.3</v>
      </c>
      <c r="B274" s="11">
        <v>0.8</v>
      </c>
      <c r="C274" s="7">
        <v>0.1</v>
      </c>
      <c r="D274" s="28">
        <v>4.026408253554445</v>
      </c>
      <c r="E274" s="28"/>
    </row>
    <row r="275" spans="1:5" x14ac:dyDescent="0.25">
      <c r="A275" s="11">
        <v>0.3</v>
      </c>
      <c r="B275" s="11">
        <v>0.8</v>
      </c>
      <c r="C275" s="7">
        <v>0.2</v>
      </c>
      <c r="D275" s="28">
        <v>3.7613222658497754</v>
      </c>
      <c r="E275" s="28"/>
    </row>
    <row r="276" spans="1:5" x14ac:dyDescent="0.25">
      <c r="A276" s="11">
        <v>0.3</v>
      </c>
      <c r="B276" s="11">
        <v>0.8</v>
      </c>
      <c r="C276" s="7">
        <v>0.3</v>
      </c>
      <c r="D276" s="28">
        <v>3.5103059875929894</v>
      </c>
      <c r="E276" s="28"/>
    </row>
    <row r="277" spans="1:5" x14ac:dyDescent="0.25">
      <c r="A277" s="11">
        <v>0.3</v>
      </c>
      <c r="B277" s="11">
        <v>0.8</v>
      </c>
      <c r="C277" s="7">
        <v>0.4</v>
      </c>
      <c r="D277" s="28">
        <v>3.2733723861700201</v>
      </c>
      <c r="E277" s="28"/>
    </row>
    <row r="278" spans="1:5" x14ac:dyDescent="0.25">
      <c r="A278" s="11">
        <v>0.3</v>
      </c>
      <c r="B278" s="11">
        <v>0.8</v>
      </c>
      <c r="C278" s="7">
        <v>0.5</v>
      </c>
      <c r="D278" s="28">
        <v>3.0656723698835719</v>
      </c>
      <c r="E278" s="28"/>
    </row>
    <row r="279" spans="1:5" x14ac:dyDescent="0.25">
      <c r="A279" s="11">
        <v>0.3</v>
      </c>
      <c r="B279" s="11">
        <v>0.8</v>
      </c>
      <c r="C279" s="7">
        <v>0.6</v>
      </c>
      <c r="D279" s="28">
        <v>2.8650822987961138</v>
      </c>
      <c r="E279" s="28"/>
    </row>
    <row r="280" spans="1:5" x14ac:dyDescent="0.25">
      <c r="A280" s="11">
        <v>0.3</v>
      </c>
      <c r="B280" s="11">
        <v>0.8</v>
      </c>
      <c r="C280" s="7">
        <v>0.7</v>
      </c>
      <c r="D280" s="28">
        <v>2.6692553574200191</v>
      </c>
      <c r="E280" s="28"/>
    </row>
    <row r="281" spans="1:5" x14ac:dyDescent="0.25">
      <c r="A281" s="11">
        <v>0.3</v>
      </c>
      <c r="B281" s="11">
        <v>0.8</v>
      </c>
      <c r="C281" s="7">
        <v>0.8</v>
      </c>
      <c r="D281" s="28">
        <v>2.4765206322990099</v>
      </c>
      <c r="E281" s="28"/>
    </row>
    <row r="282" spans="1:5" x14ac:dyDescent="0.25">
      <c r="A282" s="11">
        <v>0.3</v>
      </c>
      <c r="B282" s="11">
        <v>0.8</v>
      </c>
      <c r="C282" s="7">
        <v>0.9</v>
      </c>
      <c r="D282" s="28">
        <v>2.4728951044465495</v>
      </c>
      <c r="E282" s="28"/>
    </row>
    <row r="283" spans="1:5" x14ac:dyDescent="0.25">
      <c r="A283" s="11">
        <v>0.3</v>
      </c>
      <c r="B283" s="11">
        <v>0.9</v>
      </c>
      <c r="C283" s="7">
        <v>0.1</v>
      </c>
      <c r="D283" s="28">
        <v>4.0427924177675774</v>
      </c>
      <c r="E283" s="28"/>
    </row>
    <row r="284" spans="1:5" x14ac:dyDescent="0.25">
      <c r="A284" s="11">
        <v>0.3</v>
      </c>
      <c r="B284" s="11">
        <v>0.9</v>
      </c>
      <c r="C284" s="7">
        <v>0.2</v>
      </c>
      <c r="D284" s="28">
        <v>3.7656089424669172</v>
      </c>
      <c r="E284" s="28"/>
    </row>
    <row r="285" spans="1:5" x14ac:dyDescent="0.25">
      <c r="A285" s="11">
        <v>0.3</v>
      </c>
      <c r="B285" s="11">
        <v>0.9</v>
      </c>
      <c r="C285" s="7">
        <v>0.3</v>
      </c>
      <c r="D285" s="28">
        <v>3.503293397288596</v>
      </c>
      <c r="E285" s="28"/>
    </row>
    <row r="286" spans="1:5" x14ac:dyDescent="0.25">
      <c r="A286" s="11">
        <v>0.3</v>
      </c>
      <c r="B286" s="11">
        <v>0.9</v>
      </c>
      <c r="C286" s="7">
        <v>0.4</v>
      </c>
      <c r="D286" s="28">
        <v>3.2673188014294143</v>
      </c>
      <c r="E286" s="28"/>
    </row>
    <row r="287" spans="1:5" x14ac:dyDescent="0.25">
      <c r="A287" s="11">
        <v>0.3</v>
      </c>
      <c r="B287" s="11">
        <v>0.9</v>
      </c>
      <c r="C287" s="7">
        <v>0.5</v>
      </c>
      <c r="D287" s="28">
        <v>3.0449490764066307</v>
      </c>
      <c r="E287" s="28"/>
    </row>
    <row r="288" spans="1:5" x14ac:dyDescent="0.25">
      <c r="A288" s="11">
        <v>0.3</v>
      </c>
      <c r="B288" s="11">
        <v>0.9</v>
      </c>
      <c r="C288" s="7">
        <v>0.6</v>
      </c>
      <c r="D288" s="28">
        <v>2.8279819833119126</v>
      </c>
      <c r="E288" s="28"/>
    </row>
    <row r="289" spans="1:5" x14ac:dyDescent="0.25">
      <c r="A289" s="11">
        <v>0.3</v>
      </c>
      <c r="B289" s="11">
        <v>0.9</v>
      </c>
      <c r="C289" s="7">
        <v>0.7</v>
      </c>
      <c r="D289" s="28">
        <v>2.6144969381290171</v>
      </c>
      <c r="E289" s="28"/>
    </row>
    <row r="290" spans="1:5" x14ac:dyDescent="0.25">
      <c r="A290" s="11">
        <v>0.3</v>
      </c>
      <c r="B290" s="11">
        <v>0.9</v>
      </c>
      <c r="C290" s="7">
        <v>0.8</v>
      </c>
      <c r="D290" s="28">
        <v>2.4462124188601191</v>
      </c>
      <c r="E290" s="28"/>
    </row>
    <row r="291" spans="1:5" ht="15.75" thickBot="1" x14ac:dyDescent="0.3">
      <c r="A291" s="11">
        <v>0.3</v>
      </c>
      <c r="B291" s="27">
        <v>0.9</v>
      </c>
      <c r="C291" s="9">
        <v>0.9</v>
      </c>
      <c r="D291" s="28">
        <v>2.5869669046035089</v>
      </c>
      <c r="E291" s="28"/>
    </row>
    <row r="292" spans="1:5" x14ac:dyDescent="0.25">
      <c r="A292" s="11">
        <v>0.4</v>
      </c>
      <c r="B292" s="11">
        <v>0.1</v>
      </c>
      <c r="C292" s="7">
        <v>0.1</v>
      </c>
      <c r="D292" s="28">
        <v>3.6765558113407342</v>
      </c>
      <c r="E292" s="28"/>
    </row>
    <row r="293" spans="1:5" x14ac:dyDescent="0.25">
      <c r="A293" s="11">
        <v>0.4</v>
      </c>
      <c r="B293" s="11">
        <v>0.1</v>
      </c>
      <c r="C293" s="7">
        <v>0.2</v>
      </c>
      <c r="D293" s="28">
        <v>3.4887509563028174</v>
      </c>
      <c r="E293" s="28"/>
    </row>
    <row r="294" spans="1:5" x14ac:dyDescent="0.25">
      <c r="A294" s="11">
        <v>0.4</v>
      </c>
      <c r="B294" s="11">
        <v>0.1</v>
      </c>
      <c r="C294" s="7">
        <v>0.3</v>
      </c>
      <c r="D294" s="28">
        <v>3.3102454350194819</v>
      </c>
      <c r="E294" s="28"/>
    </row>
    <row r="295" spans="1:5" x14ac:dyDescent="0.25">
      <c r="A295" s="11">
        <v>0.4</v>
      </c>
      <c r="B295" s="11">
        <v>0.1</v>
      </c>
      <c r="C295" s="7">
        <v>0.4</v>
      </c>
      <c r="D295" s="28">
        <v>3.1409300080993794</v>
      </c>
      <c r="E295" s="28"/>
    </row>
    <row r="296" spans="1:5" x14ac:dyDescent="0.25">
      <c r="A296" s="11">
        <v>0.4</v>
      </c>
      <c r="B296" s="11">
        <v>0.1</v>
      </c>
      <c r="C296" s="7">
        <v>0.5</v>
      </c>
      <c r="D296" s="28">
        <v>2.9806976427502825</v>
      </c>
      <c r="E296" s="28"/>
    </row>
    <row r="297" spans="1:5" x14ac:dyDescent="0.25">
      <c r="A297" s="11">
        <v>0.4</v>
      </c>
      <c r="B297" s="11">
        <v>0.1</v>
      </c>
      <c r="C297" s="7">
        <v>0.6</v>
      </c>
      <c r="D297" s="28">
        <v>2.8294400993842634</v>
      </c>
      <c r="E297" s="28"/>
    </row>
    <row r="298" spans="1:5" x14ac:dyDescent="0.25">
      <c r="A298" s="11">
        <v>0.4</v>
      </c>
      <c r="B298" s="11">
        <v>0.1</v>
      </c>
      <c r="C298" s="7">
        <v>0.7</v>
      </c>
      <c r="D298" s="28">
        <v>2.6870451258488317</v>
      </c>
      <c r="E298" s="28"/>
    </row>
    <row r="299" spans="1:5" x14ac:dyDescent="0.25">
      <c r="A299" s="11">
        <v>0.4</v>
      </c>
      <c r="B299" s="11">
        <v>0.1</v>
      </c>
      <c r="C299" s="7">
        <v>0.8</v>
      </c>
      <c r="D299" s="28">
        <v>2.5533940598359988</v>
      </c>
      <c r="E299" s="28"/>
    </row>
    <row r="300" spans="1:5" x14ac:dyDescent="0.25">
      <c r="A300" s="11">
        <v>0.4</v>
      </c>
      <c r="B300" s="11">
        <v>0.1</v>
      </c>
      <c r="C300" s="7">
        <v>0.9</v>
      </c>
      <c r="D300" s="28">
        <v>2.4283596833333689</v>
      </c>
      <c r="E300" s="28"/>
    </row>
    <row r="301" spans="1:5" x14ac:dyDescent="0.25">
      <c r="A301" s="11">
        <v>0.4</v>
      </c>
      <c r="B301" s="11">
        <v>0.2</v>
      </c>
      <c r="C301" s="7">
        <v>0.1</v>
      </c>
      <c r="D301" s="28">
        <v>3.8697470128098779</v>
      </c>
      <c r="E301" s="28"/>
    </row>
    <row r="302" spans="1:5" x14ac:dyDescent="0.25">
      <c r="A302" s="11">
        <v>0.4</v>
      </c>
      <c r="B302" s="11">
        <v>0.2</v>
      </c>
      <c r="C302" s="7">
        <v>0.2</v>
      </c>
      <c r="D302" s="28">
        <v>3.6586427845186269</v>
      </c>
      <c r="E302" s="28"/>
    </row>
    <row r="303" spans="1:5" x14ac:dyDescent="0.25">
      <c r="A303" s="11">
        <v>0.4</v>
      </c>
      <c r="B303" s="11">
        <v>0.2</v>
      </c>
      <c r="C303" s="7">
        <v>0.3</v>
      </c>
      <c r="D303" s="28">
        <v>3.458076183003461</v>
      </c>
      <c r="E303" s="28"/>
    </row>
    <row r="304" spans="1:5" x14ac:dyDescent="0.25">
      <c r="A304" s="11">
        <v>0.4</v>
      </c>
      <c r="B304" s="11">
        <v>0.2</v>
      </c>
      <c r="C304" s="7">
        <v>0.4</v>
      </c>
      <c r="D304" s="28">
        <v>3.2678981112711827</v>
      </c>
      <c r="E304" s="28"/>
    </row>
    <row r="305" spans="1:5" x14ac:dyDescent="0.25">
      <c r="A305" s="11">
        <v>0.4</v>
      </c>
      <c r="B305" s="11">
        <v>0.2</v>
      </c>
      <c r="C305" s="7">
        <v>0.5</v>
      </c>
      <c r="D305" s="28">
        <v>3.0879519036864518</v>
      </c>
      <c r="E305" s="28"/>
    </row>
    <row r="306" spans="1:5" x14ac:dyDescent="0.25">
      <c r="A306" s="11">
        <v>0.4</v>
      </c>
      <c r="B306" s="11">
        <v>0.2</v>
      </c>
      <c r="C306" s="7">
        <v>0.6</v>
      </c>
      <c r="D306" s="28">
        <v>2.918070617587067</v>
      </c>
      <c r="E306" s="28"/>
    </row>
    <row r="307" spans="1:5" x14ac:dyDescent="0.25">
      <c r="A307" s="11">
        <v>0.4</v>
      </c>
      <c r="B307" s="11">
        <v>0.2</v>
      </c>
      <c r="C307" s="7">
        <v>0.7</v>
      </c>
      <c r="D307" s="28">
        <v>2.7694156012285416</v>
      </c>
      <c r="E307" s="28"/>
    </row>
    <row r="308" spans="1:5" x14ac:dyDescent="0.25">
      <c r="A308" s="11">
        <v>0.4</v>
      </c>
      <c r="B308" s="11">
        <v>0.2</v>
      </c>
      <c r="C308" s="7">
        <v>0.8</v>
      </c>
      <c r="D308" s="28">
        <v>2.6306305808633934</v>
      </c>
      <c r="E308" s="28"/>
    </row>
    <row r="309" spans="1:5" x14ac:dyDescent="0.25">
      <c r="A309" s="11">
        <v>0.4</v>
      </c>
      <c r="B309" s="11">
        <v>0.2</v>
      </c>
      <c r="C309" s="7">
        <v>0.9</v>
      </c>
      <c r="D309" s="28">
        <v>2.4979462675916917</v>
      </c>
      <c r="E309" s="28"/>
    </row>
    <row r="310" spans="1:5" x14ac:dyDescent="0.25">
      <c r="A310" s="11">
        <v>0.4</v>
      </c>
      <c r="B310" s="11">
        <v>0.3</v>
      </c>
      <c r="C310" s="7">
        <v>0.1</v>
      </c>
      <c r="D310" s="28">
        <v>4.0021621385983659</v>
      </c>
      <c r="E310" s="28"/>
    </row>
    <row r="311" spans="1:5" x14ac:dyDescent="0.25">
      <c r="A311" s="11">
        <v>0.4</v>
      </c>
      <c r="B311" s="11">
        <v>0.3</v>
      </c>
      <c r="C311" s="7">
        <v>0.2</v>
      </c>
      <c r="D311" s="28">
        <v>3.7728114051025607</v>
      </c>
      <c r="E311" s="28"/>
    </row>
    <row r="312" spans="1:5" x14ac:dyDescent="0.25">
      <c r="A312" s="11">
        <v>0.4</v>
      </c>
      <c r="B312" s="11">
        <v>0.3</v>
      </c>
      <c r="C312" s="7">
        <v>0.3</v>
      </c>
      <c r="D312" s="28">
        <v>3.5552494826499283</v>
      </c>
      <c r="E312" s="28"/>
    </row>
    <row r="313" spans="1:5" x14ac:dyDescent="0.25">
      <c r="A313" s="11">
        <v>0.4</v>
      </c>
      <c r="B313" s="11">
        <v>0.3</v>
      </c>
      <c r="C313" s="7">
        <v>0.4</v>
      </c>
      <c r="D313" s="28">
        <v>3.3492341915775024</v>
      </c>
      <c r="E313" s="28"/>
    </row>
    <row r="314" spans="1:5" x14ac:dyDescent="0.25">
      <c r="A314" s="11">
        <v>0.4</v>
      </c>
      <c r="B314" s="11">
        <v>0.3</v>
      </c>
      <c r="C314" s="7">
        <v>0.5</v>
      </c>
      <c r="D314" s="28">
        <v>3.1545062223109217</v>
      </c>
      <c r="E314" s="28"/>
    </row>
    <row r="315" spans="1:5" x14ac:dyDescent="0.25">
      <c r="A315" s="11">
        <v>0.4</v>
      </c>
      <c r="B315" s="11">
        <v>0.3</v>
      </c>
      <c r="C315" s="7">
        <v>0.6</v>
      </c>
      <c r="D315" s="28">
        <v>2.9722459899649158</v>
      </c>
      <c r="E315" s="28"/>
    </row>
    <row r="316" spans="1:5" x14ac:dyDescent="0.25">
      <c r="A316" s="11">
        <v>0.4</v>
      </c>
      <c r="B316" s="11">
        <v>0.3</v>
      </c>
      <c r="C316" s="7">
        <v>0.7</v>
      </c>
      <c r="D316" s="28">
        <v>2.8157248609050871</v>
      </c>
      <c r="E316" s="28"/>
    </row>
    <row r="317" spans="1:5" x14ac:dyDescent="0.25">
      <c r="A317" s="11">
        <v>0.4</v>
      </c>
      <c r="B317" s="11">
        <v>0.3</v>
      </c>
      <c r="C317" s="7">
        <v>0.8</v>
      </c>
      <c r="D317" s="28">
        <v>2.6656596555719356</v>
      </c>
      <c r="E317" s="28"/>
    </row>
    <row r="318" spans="1:5" x14ac:dyDescent="0.25">
      <c r="A318" s="11">
        <v>0.4</v>
      </c>
      <c r="B318" s="11">
        <v>0.3</v>
      </c>
      <c r="C318" s="7">
        <v>0.9</v>
      </c>
      <c r="D318" s="28">
        <v>2.5213031242209474</v>
      </c>
      <c r="E318" s="28"/>
    </row>
    <row r="319" spans="1:5" x14ac:dyDescent="0.25">
      <c r="A319" s="11">
        <v>0.4</v>
      </c>
      <c r="B319" s="11">
        <v>0.4</v>
      </c>
      <c r="C319" s="7">
        <v>0.1</v>
      </c>
      <c r="D319" s="28">
        <v>4.0798141936968388</v>
      </c>
      <c r="E319" s="28"/>
    </row>
    <row r="320" spans="1:5" x14ac:dyDescent="0.25">
      <c r="A320" s="11">
        <v>0.4</v>
      </c>
      <c r="B320" s="11">
        <v>0.4</v>
      </c>
      <c r="C320" s="7">
        <v>0.2</v>
      </c>
      <c r="D320" s="28">
        <v>3.8337057297683139</v>
      </c>
      <c r="E320" s="28"/>
    </row>
    <row r="321" spans="1:5" x14ac:dyDescent="0.25">
      <c r="A321" s="11">
        <v>0.4</v>
      </c>
      <c r="B321" s="11">
        <v>0.4</v>
      </c>
      <c r="C321" s="7">
        <v>0.3</v>
      </c>
      <c r="D321" s="28">
        <v>3.6006821007245806</v>
      </c>
      <c r="E321" s="28"/>
    </row>
    <row r="322" spans="1:5" x14ac:dyDescent="0.25">
      <c r="A322" s="11">
        <v>0.4</v>
      </c>
      <c r="B322" s="11">
        <v>0.4</v>
      </c>
      <c r="C322" s="7">
        <v>0.4</v>
      </c>
      <c r="D322" s="28">
        <v>3.3803527490553202</v>
      </c>
      <c r="E322" s="28"/>
    </row>
    <row r="323" spans="1:5" x14ac:dyDescent="0.25">
      <c r="A323" s="11">
        <v>0.4</v>
      </c>
      <c r="B323" s="11">
        <v>0.4</v>
      </c>
      <c r="C323" s="7">
        <v>0.5</v>
      </c>
      <c r="D323" s="28">
        <v>3.1723009867067096</v>
      </c>
      <c r="E323" s="28"/>
    </row>
    <row r="324" spans="1:5" x14ac:dyDescent="0.25">
      <c r="A324" s="11">
        <v>0.4</v>
      </c>
      <c r="B324" s="11">
        <v>0.4</v>
      </c>
      <c r="C324" s="7">
        <v>0.6</v>
      </c>
      <c r="D324" s="28">
        <v>2.9827546184993721</v>
      </c>
      <c r="E324" s="28"/>
    </row>
    <row r="325" spans="1:5" x14ac:dyDescent="0.25">
      <c r="A325" s="11">
        <v>0.4</v>
      </c>
      <c r="B325" s="11">
        <v>0.4</v>
      </c>
      <c r="C325" s="7">
        <v>0.7</v>
      </c>
      <c r="D325" s="28">
        <v>2.8152740009565442</v>
      </c>
      <c r="E325" s="28"/>
    </row>
    <row r="326" spans="1:5" x14ac:dyDescent="0.25">
      <c r="A326" s="11">
        <v>0.4</v>
      </c>
      <c r="B326" s="11">
        <v>0.4</v>
      </c>
      <c r="C326" s="7">
        <v>0.8</v>
      </c>
      <c r="D326" s="28">
        <v>2.6537591304058554</v>
      </c>
      <c r="E326" s="28"/>
    </row>
    <row r="327" spans="1:5" x14ac:dyDescent="0.25">
      <c r="A327" s="11">
        <v>0.4</v>
      </c>
      <c r="B327" s="11">
        <v>0.4</v>
      </c>
      <c r="C327" s="7">
        <v>0.9</v>
      </c>
      <c r="D327" s="28">
        <v>2.4972842314352124</v>
      </c>
      <c r="E327" s="28"/>
    </row>
    <row r="328" spans="1:5" x14ac:dyDescent="0.25">
      <c r="A328" s="11">
        <v>0.4</v>
      </c>
      <c r="B328" s="11">
        <v>0.5</v>
      </c>
      <c r="C328" s="7">
        <v>0.1</v>
      </c>
      <c r="D328" s="28">
        <v>4.1447590476658878</v>
      </c>
      <c r="E328" s="28"/>
    </row>
    <row r="329" spans="1:5" x14ac:dyDescent="0.25">
      <c r="A329" s="11">
        <v>0.4</v>
      </c>
      <c r="B329" s="11">
        <v>0.5</v>
      </c>
      <c r="C329" s="7">
        <v>0.2</v>
      </c>
      <c r="D329" s="28">
        <v>3.8824149675450585</v>
      </c>
      <c r="E329" s="28"/>
    </row>
    <row r="330" spans="1:5" x14ac:dyDescent="0.25">
      <c r="A330" s="11">
        <v>0.4</v>
      </c>
      <c r="B330" s="11">
        <v>0.5</v>
      </c>
      <c r="C330" s="7">
        <v>0.3</v>
      </c>
      <c r="D330" s="28">
        <v>3.6344590082080721</v>
      </c>
      <c r="E330" s="28"/>
    </row>
    <row r="331" spans="1:5" x14ac:dyDescent="0.25">
      <c r="A331" s="11">
        <v>0.4</v>
      </c>
      <c r="B331" s="11">
        <v>0.5</v>
      </c>
      <c r="C331" s="7">
        <v>0.4</v>
      </c>
      <c r="D331" s="28">
        <v>3.4003002682290271</v>
      </c>
      <c r="E331" s="28"/>
    </row>
    <row r="332" spans="1:5" x14ac:dyDescent="0.25">
      <c r="A332" s="11">
        <v>0.4</v>
      </c>
      <c r="B332" s="11">
        <v>0.5</v>
      </c>
      <c r="C332" s="7">
        <v>0.5</v>
      </c>
      <c r="D332" s="28">
        <v>3.1793136218359122</v>
      </c>
      <c r="E332" s="28"/>
    </row>
    <row r="333" spans="1:5" x14ac:dyDescent="0.25">
      <c r="A333" s="11">
        <v>0.4</v>
      </c>
      <c r="B333" s="11">
        <v>0.5</v>
      </c>
      <c r="C333" s="7">
        <v>0.6</v>
      </c>
      <c r="D333" s="28">
        <v>2.9869538088744876</v>
      </c>
      <c r="E333" s="28"/>
    </row>
    <row r="334" spans="1:5" x14ac:dyDescent="0.25">
      <c r="A334" s="11">
        <v>0.4</v>
      </c>
      <c r="B334" s="11">
        <v>0.5</v>
      </c>
      <c r="C334" s="7">
        <v>0.7</v>
      </c>
      <c r="D334" s="28">
        <v>2.8072149853921609</v>
      </c>
      <c r="E334" s="28"/>
    </row>
    <row r="335" spans="1:5" x14ac:dyDescent="0.25">
      <c r="A335" s="11">
        <v>0.4</v>
      </c>
      <c r="B335" s="11">
        <v>0.5</v>
      </c>
      <c r="C335" s="7">
        <v>0.8</v>
      </c>
      <c r="D335" s="28">
        <v>2.6350040501124203</v>
      </c>
      <c r="E335" s="28"/>
    </row>
    <row r="336" spans="1:5" x14ac:dyDescent="0.25">
      <c r="A336" s="11">
        <v>0.4</v>
      </c>
      <c r="B336" s="11">
        <v>0.5</v>
      </c>
      <c r="C336" s="7">
        <v>0.9</v>
      </c>
      <c r="D336" s="28">
        <v>2.491090583457499</v>
      </c>
      <c r="E336" s="28"/>
    </row>
    <row r="337" spans="1:5" x14ac:dyDescent="0.25">
      <c r="A337" s="11">
        <v>0.4</v>
      </c>
      <c r="B337" s="11">
        <v>0.6</v>
      </c>
      <c r="C337" s="7">
        <v>0.1</v>
      </c>
      <c r="D337" s="28">
        <v>4.2198052190167239</v>
      </c>
      <c r="E337" s="28"/>
    </row>
    <row r="338" spans="1:5" x14ac:dyDescent="0.25">
      <c r="A338" s="11">
        <v>0.4</v>
      </c>
      <c r="B338" s="11">
        <v>0.6</v>
      </c>
      <c r="C338" s="7">
        <v>0.2</v>
      </c>
      <c r="D338" s="28">
        <v>3.9406793632279853</v>
      </c>
      <c r="E338" s="28"/>
    </row>
    <row r="339" spans="1:5" x14ac:dyDescent="0.25">
      <c r="A339" s="11">
        <v>0.4</v>
      </c>
      <c r="B339" s="11">
        <v>0.6</v>
      </c>
      <c r="C339" s="7">
        <v>0.3</v>
      </c>
      <c r="D339" s="28">
        <v>3.677253016362223</v>
      </c>
      <c r="E339" s="28"/>
    </row>
    <row r="340" spans="1:5" x14ac:dyDescent="0.25">
      <c r="A340" s="11">
        <v>0.4</v>
      </c>
      <c r="B340" s="11">
        <v>0.6</v>
      </c>
      <c r="C340" s="7">
        <v>0.4</v>
      </c>
      <c r="D340" s="28">
        <v>3.4286890886692349</v>
      </c>
      <c r="E340" s="28"/>
    </row>
    <row r="341" spans="1:5" x14ac:dyDescent="0.25">
      <c r="A341" s="11">
        <v>0.4</v>
      </c>
      <c r="B341" s="11">
        <v>0.6</v>
      </c>
      <c r="C341" s="7">
        <v>0.5</v>
      </c>
      <c r="D341" s="28">
        <v>3.1985530850281889</v>
      </c>
      <c r="E341" s="28"/>
    </row>
    <row r="342" spans="1:5" x14ac:dyDescent="0.25">
      <c r="A342" s="11">
        <v>0.4</v>
      </c>
      <c r="B342" s="11">
        <v>0.6</v>
      </c>
      <c r="C342" s="7">
        <v>0.6</v>
      </c>
      <c r="D342" s="28">
        <v>3.0044095921046856</v>
      </c>
      <c r="E342" s="28"/>
    </row>
    <row r="343" spans="1:5" x14ac:dyDescent="0.25">
      <c r="A343" s="11">
        <v>0.4</v>
      </c>
      <c r="B343" s="11">
        <v>0.6</v>
      </c>
      <c r="C343" s="7">
        <v>0.7</v>
      </c>
      <c r="D343" s="28">
        <v>2.831823056978573</v>
      </c>
      <c r="E343" s="28"/>
    </row>
    <row r="344" spans="1:5" x14ac:dyDescent="0.25">
      <c r="A344" s="11">
        <v>0.4</v>
      </c>
      <c r="B344" s="11">
        <v>0.6</v>
      </c>
      <c r="C344" s="7">
        <v>0.8</v>
      </c>
      <c r="D344" s="28">
        <v>2.6638895044987008</v>
      </c>
      <c r="E344" s="28"/>
    </row>
    <row r="345" spans="1:5" x14ac:dyDescent="0.25">
      <c r="A345" s="11">
        <v>0.4</v>
      </c>
      <c r="B345" s="11">
        <v>0.6</v>
      </c>
      <c r="C345" s="7">
        <v>0.9</v>
      </c>
      <c r="D345" s="28">
        <v>2.5366638929681158</v>
      </c>
      <c r="E345" s="28"/>
    </row>
    <row r="346" spans="1:5" x14ac:dyDescent="0.25">
      <c r="A346" s="11">
        <v>0.4</v>
      </c>
      <c r="B346" s="11">
        <v>0.7</v>
      </c>
      <c r="C346" s="7">
        <v>0.1</v>
      </c>
      <c r="D346" s="28">
        <v>4.3174370336330945</v>
      </c>
      <c r="E346" s="28"/>
    </row>
    <row r="347" spans="1:5" x14ac:dyDescent="0.25">
      <c r="A347" s="11">
        <v>0.4</v>
      </c>
      <c r="B347" s="11">
        <v>0.7</v>
      </c>
      <c r="C347" s="7">
        <v>0.2</v>
      </c>
      <c r="D347" s="28">
        <v>4.0201020038731565</v>
      </c>
      <c r="E347" s="28"/>
    </row>
    <row r="348" spans="1:5" x14ac:dyDescent="0.25">
      <c r="A348" s="11">
        <v>0.4</v>
      </c>
      <c r="B348" s="11">
        <v>0.7</v>
      </c>
      <c r="C348" s="7">
        <v>0.3</v>
      </c>
      <c r="D348" s="28">
        <v>3.7398250095904397</v>
      </c>
      <c r="E348" s="28"/>
    </row>
    <row r="349" spans="1:5" x14ac:dyDescent="0.25">
      <c r="A349" s="11">
        <v>0.4</v>
      </c>
      <c r="B349" s="11">
        <v>0.7</v>
      </c>
      <c r="C349" s="7">
        <v>0.4</v>
      </c>
      <c r="D349" s="28">
        <v>3.484599597415964</v>
      </c>
      <c r="E349" s="28"/>
    </row>
    <row r="350" spans="1:5" x14ac:dyDescent="0.25">
      <c r="A350" s="11">
        <v>0.4</v>
      </c>
      <c r="B350" s="11">
        <v>0.7</v>
      </c>
      <c r="C350" s="7">
        <v>0.5</v>
      </c>
      <c r="D350" s="28">
        <v>3.2710864551310097</v>
      </c>
      <c r="E350" s="28"/>
    </row>
    <row r="351" spans="1:5" x14ac:dyDescent="0.25">
      <c r="A351" s="11">
        <v>0.4</v>
      </c>
      <c r="B351" s="11">
        <v>0.7</v>
      </c>
      <c r="C351" s="7">
        <v>0.6</v>
      </c>
      <c r="D351" s="28">
        <v>3.0801464694229428</v>
      </c>
      <c r="E351" s="28"/>
    </row>
    <row r="352" spans="1:5" x14ac:dyDescent="0.25">
      <c r="A352" s="11">
        <v>0.4</v>
      </c>
      <c r="B352" s="11">
        <v>0.7</v>
      </c>
      <c r="C352" s="7">
        <v>0.7</v>
      </c>
      <c r="D352" s="28">
        <v>2.8950039626634907</v>
      </c>
      <c r="E352" s="28"/>
    </row>
    <row r="353" spans="1:5" x14ac:dyDescent="0.25">
      <c r="A353" s="11">
        <v>0.4</v>
      </c>
      <c r="B353" s="11">
        <v>0.7</v>
      </c>
      <c r="C353" s="7">
        <v>0.8</v>
      </c>
      <c r="D353" s="28">
        <v>2.7141951444905699</v>
      </c>
      <c r="E353" s="28"/>
    </row>
    <row r="354" spans="1:5" x14ac:dyDescent="0.25">
      <c r="A354" s="11">
        <v>0.4</v>
      </c>
      <c r="B354" s="11">
        <v>0.7</v>
      </c>
      <c r="C354" s="7">
        <v>0.9</v>
      </c>
      <c r="D354" s="28">
        <v>2.6718490621638455</v>
      </c>
      <c r="E354" s="28"/>
    </row>
    <row r="355" spans="1:5" x14ac:dyDescent="0.25">
      <c r="A355" s="11">
        <v>0.4</v>
      </c>
      <c r="B355" s="11">
        <v>0.8</v>
      </c>
      <c r="C355" s="7">
        <v>0.1</v>
      </c>
      <c r="D355" s="28">
        <v>4.4118141882949971</v>
      </c>
      <c r="E355" s="28"/>
    </row>
    <row r="356" spans="1:5" x14ac:dyDescent="0.25">
      <c r="A356" s="11">
        <v>0.4</v>
      </c>
      <c r="B356" s="11">
        <v>0.8</v>
      </c>
      <c r="C356" s="7">
        <v>0.2</v>
      </c>
      <c r="D356" s="28">
        <v>4.1055085129721292</v>
      </c>
      <c r="E356" s="28"/>
    </row>
    <row r="357" spans="1:5" x14ac:dyDescent="0.25">
      <c r="A357" s="11">
        <v>0.4</v>
      </c>
      <c r="B357" s="11">
        <v>0.8</v>
      </c>
      <c r="C357" s="7">
        <v>0.3</v>
      </c>
      <c r="D357" s="28">
        <v>3.8326376920346759</v>
      </c>
      <c r="E357" s="28"/>
    </row>
    <row r="358" spans="1:5" x14ac:dyDescent="0.25">
      <c r="A358" s="11">
        <v>0.4</v>
      </c>
      <c r="B358" s="11">
        <v>0.8</v>
      </c>
      <c r="C358" s="7">
        <v>0.4</v>
      </c>
      <c r="D358" s="28">
        <v>3.5765743818050275</v>
      </c>
      <c r="E358" s="28"/>
    </row>
    <row r="359" spans="1:5" x14ac:dyDescent="0.25">
      <c r="A359" s="11">
        <v>0.4</v>
      </c>
      <c r="B359" s="11">
        <v>0.8</v>
      </c>
      <c r="C359" s="7">
        <v>0.5</v>
      </c>
      <c r="D359" s="28">
        <v>3.3521360065899897</v>
      </c>
      <c r="E359" s="28"/>
    </row>
    <row r="360" spans="1:5" x14ac:dyDescent="0.25">
      <c r="A360" s="11">
        <v>0.4</v>
      </c>
      <c r="B360" s="11">
        <v>0.8</v>
      </c>
      <c r="C360" s="7">
        <v>0.6</v>
      </c>
      <c r="D360" s="28">
        <v>3.1479907726212746</v>
      </c>
      <c r="E360" s="28"/>
    </row>
    <row r="361" spans="1:5" x14ac:dyDescent="0.25">
      <c r="A361" s="11">
        <v>0.4</v>
      </c>
      <c r="B361" s="11">
        <v>0.8</v>
      </c>
      <c r="C361" s="7">
        <v>0.7</v>
      </c>
      <c r="D361" s="28">
        <v>2.949835857027109</v>
      </c>
      <c r="E361" s="28"/>
    </row>
    <row r="362" spans="1:5" x14ac:dyDescent="0.25">
      <c r="A362" s="11">
        <v>0.4</v>
      </c>
      <c r="B362" s="11">
        <v>0.8</v>
      </c>
      <c r="C362" s="7">
        <v>0.8</v>
      </c>
      <c r="D362" s="28">
        <v>2.8083654877691666</v>
      </c>
      <c r="E362" s="28"/>
    </row>
    <row r="363" spans="1:5" x14ac:dyDescent="0.25">
      <c r="A363" s="11">
        <v>0.4</v>
      </c>
      <c r="B363" s="11">
        <v>0.8</v>
      </c>
      <c r="C363" s="7">
        <v>0.9</v>
      </c>
      <c r="D363" s="28">
        <v>2.8326367021035508</v>
      </c>
      <c r="E363" s="28"/>
    </row>
    <row r="364" spans="1:5" x14ac:dyDescent="0.25">
      <c r="A364" s="11">
        <v>0.4</v>
      </c>
      <c r="B364" s="11">
        <v>0.9</v>
      </c>
      <c r="C364" s="7">
        <v>0.1</v>
      </c>
      <c r="D364" s="28">
        <v>4.5439268359700282</v>
      </c>
      <c r="E364" s="28"/>
    </row>
    <row r="365" spans="1:5" x14ac:dyDescent="0.25">
      <c r="A365" s="11">
        <v>0.4</v>
      </c>
      <c r="B365" s="11">
        <v>0.9</v>
      </c>
      <c r="C365" s="7">
        <v>0.2</v>
      </c>
      <c r="D365" s="28">
        <v>4.2318755508519814</v>
      </c>
      <c r="E365" s="28"/>
    </row>
    <row r="366" spans="1:5" x14ac:dyDescent="0.25">
      <c r="A366" s="11">
        <v>0.4</v>
      </c>
      <c r="B366" s="11">
        <v>0.9</v>
      </c>
      <c r="C366" s="7">
        <v>0.3</v>
      </c>
      <c r="D366" s="28">
        <v>3.9397329431605805</v>
      </c>
      <c r="E366" s="28"/>
    </row>
    <row r="367" spans="1:5" x14ac:dyDescent="0.25">
      <c r="A367" s="11">
        <v>0.4</v>
      </c>
      <c r="B367" s="11">
        <v>0.9</v>
      </c>
      <c r="C367" s="7">
        <v>0.4</v>
      </c>
      <c r="D367" s="28">
        <v>3.6657288848338534</v>
      </c>
      <c r="E367" s="28"/>
    </row>
    <row r="368" spans="1:5" x14ac:dyDescent="0.25">
      <c r="A368" s="11">
        <v>0.4</v>
      </c>
      <c r="B368" s="11">
        <v>0.9</v>
      </c>
      <c r="C368" s="7">
        <v>0.5</v>
      </c>
      <c r="D368" s="28">
        <v>3.4262736105272626</v>
      </c>
      <c r="E368" s="28"/>
    </row>
    <row r="369" spans="1:5" x14ac:dyDescent="0.25">
      <c r="A369" s="11">
        <v>0.4</v>
      </c>
      <c r="B369" s="11">
        <v>0.9</v>
      </c>
      <c r="C369" s="7">
        <v>0.6</v>
      </c>
      <c r="D369" s="28">
        <v>3.2092846066912455</v>
      </c>
      <c r="E369" s="28"/>
    </row>
    <row r="370" spans="1:5" x14ac:dyDescent="0.25">
      <c r="A370" s="11">
        <v>0.4</v>
      </c>
      <c r="B370" s="11">
        <v>0.9</v>
      </c>
      <c r="C370" s="7">
        <v>0.7</v>
      </c>
      <c r="D370" s="28">
        <v>3.0139978293836212</v>
      </c>
      <c r="E370" s="28"/>
    </row>
    <row r="371" spans="1:5" x14ac:dyDescent="0.25">
      <c r="A371" s="11">
        <v>0.4</v>
      </c>
      <c r="B371" s="11">
        <v>0.9</v>
      </c>
      <c r="C371" s="7">
        <v>0.8</v>
      </c>
      <c r="D371" s="28">
        <v>2.9610914816998193</v>
      </c>
      <c r="E371" s="28"/>
    </row>
    <row r="372" spans="1:5" ht="15.75" thickBot="1" x14ac:dyDescent="0.3">
      <c r="A372" s="11">
        <v>0.4</v>
      </c>
      <c r="B372" s="27">
        <v>0.9</v>
      </c>
      <c r="C372" s="9">
        <v>0.9</v>
      </c>
      <c r="D372" s="28">
        <v>3.0165858467209752</v>
      </c>
      <c r="E372" s="28"/>
    </row>
    <row r="373" spans="1:5" x14ac:dyDescent="0.25">
      <c r="A373" s="11">
        <v>0.5</v>
      </c>
      <c r="B373" s="11">
        <v>0.1</v>
      </c>
      <c r="C373" s="7">
        <v>0.1</v>
      </c>
      <c r="D373" s="28">
        <v>3.933019936364146</v>
      </c>
      <c r="E373" s="28"/>
    </row>
    <row r="374" spans="1:5" x14ac:dyDescent="0.25">
      <c r="A374" s="11">
        <v>0.5</v>
      </c>
      <c r="B374" s="11">
        <v>0.1</v>
      </c>
      <c r="C374" s="7">
        <v>0.2</v>
      </c>
      <c r="D374" s="28">
        <v>3.7369366867973044</v>
      </c>
      <c r="E374" s="28"/>
    </row>
    <row r="375" spans="1:5" x14ac:dyDescent="0.25">
      <c r="A375" s="11">
        <v>0.5</v>
      </c>
      <c r="B375" s="11">
        <v>0.1</v>
      </c>
      <c r="C375" s="7">
        <v>0.3</v>
      </c>
      <c r="D375" s="28">
        <v>3.5511011742024632</v>
      </c>
      <c r="E375" s="28"/>
    </row>
    <row r="376" spans="1:5" x14ac:dyDescent="0.25">
      <c r="A376" s="11">
        <v>0.5</v>
      </c>
      <c r="B376" s="11">
        <v>0.1</v>
      </c>
      <c r="C376" s="7">
        <v>0.4</v>
      </c>
      <c r="D376" s="28">
        <v>3.3751005879243312</v>
      </c>
      <c r="E376" s="28"/>
    </row>
    <row r="377" spans="1:5" x14ac:dyDescent="0.25">
      <c r="A377" s="11">
        <v>0.5</v>
      </c>
      <c r="B377" s="11">
        <v>0.1</v>
      </c>
      <c r="C377" s="7">
        <v>0.5</v>
      </c>
      <c r="D377" s="28">
        <v>3.2085212460053048</v>
      </c>
      <c r="E377" s="28"/>
    </row>
    <row r="378" spans="1:5" x14ac:dyDescent="0.25">
      <c r="A378" s="11">
        <v>0.5</v>
      </c>
      <c r="B378" s="11">
        <v>0.1</v>
      </c>
      <c r="C378" s="7">
        <v>0.6</v>
      </c>
      <c r="D378" s="28">
        <v>3.0509466015153817</v>
      </c>
      <c r="E378" s="28"/>
    </row>
    <row r="379" spans="1:5" x14ac:dyDescent="0.25">
      <c r="A379" s="11">
        <v>0.5</v>
      </c>
      <c r="B379" s="11">
        <v>0.1</v>
      </c>
      <c r="C379" s="7">
        <v>0.7</v>
      </c>
      <c r="D379" s="28">
        <v>2.9019555862912703</v>
      </c>
      <c r="E379" s="28"/>
    </row>
    <row r="380" spans="1:5" x14ac:dyDescent="0.25">
      <c r="A380" s="11">
        <v>0.5</v>
      </c>
      <c r="B380" s="11">
        <v>0.1</v>
      </c>
      <c r="C380" s="7">
        <v>0.8</v>
      </c>
      <c r="D380" s="28">
        <v>2.7664067012228504</v>
      </c>
      <c r="E380" s="28"/>
    </row>
    <row r="381" spans="1:5" x14ac:dyDescent="0.25">
      <c r="A381" s="11">
        <v>0.5</v>
      </c>
      <c r="B381" s="11">
        <v>0.1</v>
      </c>
      <c r="C381" s="7">
        <v>0.9</v>
      </c>
      <c r="D381" s="28">
        <v>2.6488555620921437</v>
      </c>
      <c r="E381" s="28"/>
    </row>
    <row r="382" spans="1:5" x14ac:dyDescent="0.25">
      <c r="A382" s="11">
        <v>0.5</v>
      </c>
      <c r="B382" s="11">
        <v>0.2</v>
      </c>
      <c r="C382" s="7">
        <v>0.1</v>
      </c>
      <c r="D382" s="28">
        <v>4.0941856488417088</v>
      </c>
      <c r="E382" s="28"/>
    </row>
    <row r="383" spans="1:5" x14ac:dyDescent="0.25">
      <c r="A383" s="11">
        <v>0.5</v>
      </c>
      <c r="B383" s="11">
        <v>0.2</v>
      </c>
      <c r="C383" s="7">
        <v>0.2</v>
      </c>
      <c r="D383" s="28">
        <v>3.8733898608890831</v>
      </c>
      <c r="E383" s="28"/>
    </row>
    <row r="384" spans="1:5" x14ac:dyDescent="0.25">
      <c r="A384" s="11">
        <v>0.5</v>
      </c>
      <c r="B384" s="11">
        <v>0.2</v>
      </c>
      <c r="C384" s="7">
        <v>0.3</v>
      </c>
      <c r="D384" s="28">
        <v>3.6684119710566279</v>
      </c>
      <c r="E384" s="28"/>
    </row>
    <row r="385" spans="1:5" x14ac:dyDescent="0.25">
      <c r="A385" s="11">
        <v>0.5</v>
      </c>
      <c r="B385" s="11">
        <v>0.2</v>
      </c>
      <c r="C385" s="7">
        <v>0.4</v>
      </c>
      <c r="D385" s="28">
        <v>3.477987042048877</v>
      </c>
      <c r="E385" s="28"/>
    </row>
    <row r="386" spans="1:5" x14ac:dyDescent="0.25">
      <c r="A386" s="11">
        <v>0.5</v>
      </c>
      <c r="B386" s="11">
        <v>0.2</v>
      </c>
      <c r="C386" s="7">
        <v>0.5</v>
      </c>
      <c r="D386" s="28">
        <v>3.2980769043024054</v>
      </c>
      <c r="E386" s="28"/>
    </row>
    <row r="387" spans="1:5" x14ac:dyDescent="0.25">
      <c r="A387" s="11">
        <v>0.5</v>
      </c>
      <c r="B387" s="11">
        <v>0.2</v>
      </c>
      <c r="C387" s="7">
        <v>0.6</v>
      </c>
      <c r="D387" s="28">
        <v>3.1281557796712858</v>
      </c>
      <c r="E387" s="28"/>
    </row>
    <row r="388" spans="1:5" x14ac:dyDescent="0.25">
      <c r="A388" s="11">
        <v>0.5</v>
      </c>
      <c r="B388" s="11">
        <v>0.2</v>
      </c>
      <c r="C388" s="7">
        <v>0.7</v>
      </c>
      <c r="D388" s="28">
        <v>2.9836582152105446</v>
      </c>
      <c r="E388" s="28"/>
    </row>
    <row r="389" spans="1:5" x14ac:dyDescent="0.25">
      <c r="A389" s="11">
        <v>0.5</v>
      </c>
      <c r="B389" s="11">
        <v>0.2</v>
      </c>
      <c r="C389" s="7">
        <v>0.8</v>
      </c>
      <c r="D389" s="28">
        <v>2.851949567070311</v>
      </c>
      <c r="E389" s="28"/>
    </row>
    <row r="390" spans="1:5" x14ac:dyDescent="0.25">
      <c r="A390" s="11">
        <v>0.5</v>
      </c>
      <c r="B390" s="11">
        <v>0.2</v>
      </c>
      <c r="C390" s="7">
        <v>0.9</v>
      </c>
      <c r="D390" s="28">
        <v>2.7255885762079495</v>
      </c>
      <c r="E390" s="28"/>
    </row>
    <row r="391" spans="1:5" x14ac:dyDescent="0.25">
      <c r="A391" s="11">
        <v>0.5</v>
      </c>
      <c r="B391" s="11">
        <v>0.3</v>
      </c>
      <c r="C391" s="7">
        <v>0.1</v>
      </c>
      <c r="D391" s="28">
        <v>4.2560649632949996</v>
      </c>
      <c r="E391" s="28"/>
    </row>
    <row r="392" spans="1:5" x14ac:dyDescent="0.25">
      <c r="A392" s="11">
        <v>0.5</v>
      </c>
      <c r="B392" s="11">
        <v>0.3</v>
      </c>
      <c r="C392" s="7">
        <v>0.2</v>
      </c>
      <c r="D392" s="28">
        <v>4.0159976537367763</v>
      </c>
      <c r="E392" s="28"/>
    </row>
    <row r="393" spans="1:5" x14ac:dyDescent="0.25">
      <c r="A393" s="11">
        <v>0.5</v>
      </c>
      <c r="B393" s="11">
        <v>0.3</v>
      </c>
      <c r="C393" s="7">
        <v>0.3</v>
      </c>
      <c r="D393" s="28">
        <v>3.7889933868021299</v>
      </c>
      <c r="E393" s="28"/>
    </row>
    <row r="394" spans="1:5" x14ac:dyDescent="0.25">
      <c r="A394" s="11">
        <v>0.5</v>
      </c>
      <c r="B394" s="11">
        <v>0.3</v>
      </c>
      <c r="C394" s="7">
        <v>0.4</v>
      </c>
      <c r="D394" s="28">
        <v>3.5785242777598141</v>
      </c>
      <c r="E394" s="28"/>
    </row>
    <row r="395" spans="1:5" x14ac:dyDescent="0.25">
      <c r="A395" s="11">
        <v>0.5</v>
      </c>
      <c r="B395" s="11">
        <v>0.3</v>
      </c>
      <c r="C395" s="7">
        <v>0.5</v>
      </c>
      <c r="D395" s="28">
        <v>3.3860257815578563</v>
      </c>
      <c r="E395" s="28"/>
    </row>
    <row r="396" spans="1:5" x14ac:dyDescent="0.25">
      <c r="A396" s="11">
        <v>0.5</v>
      </c>
      <c r="B396" s="11">
        <v>0.3</v>
      </c>
      <c r="C396" s="7">
        <v>0.6</v>
      </c>
      <c r="D396" s="28">
        <v>3.2051882140995698</v>
      </c>
      <c r="E396" s="28"/>
    </row>
    <row r="397" spans="1:5" x14ac:dyDescent="0.25">
      <c r="A397" s="11">
        <v>0.5</v>
      </c>
      <c r="B397" s="11">
        <v>0.3</v>
      </c>
      <c r="C397" s="7">
        <v>0.7</v>
      </c>
      <c r="D397" s="28">
        <v>3.0596664770721622</v>
      </c>
      <c r="E397" s="28"/>
    </row>
    <row r="398" spans="1:5" x14ac:dyDescent="0.25">
      <c r="A398" s="11">
        <v>0.5</v>
      </c>
      <c r="B398" s="11">
        <v>0.3</v>
      </c>
      <c r="C398" s="7">
        <v>0.8</v>
      </c>
      <c r="D398" s="28">
        <v>2.9200771868683861</v>
      </c>
      <c r="E398" s="28"/>
    </row>
    <row r="399" spans="1:5" x14ac:dyDescent="0.25">
      <c r="A399" s="11">
        <v>0.5</v>
      </c>
      <c r="B399" s="11">
        <v>0.3</v>
      </c>
      <c r="C399" s="7">
        <v>0.9</v>
      </c>
      <c r="D399" s="28">
        <v>2.7858461178998675</v>
      </c>
      <c r="E399" s="28"/>
    </row>
    <row r="400" spans="1:5" x14ac:dyDescent="0.25">
      <c r="A400" s="11">
        <v>0.5</v>
      </c>
      <c r="B400" s="11">
        <v>0.4</v>
      </c>
      <c r="C400" s="7">
        <v>0.1</v>
      </c>
      <c r="D400" s="28">
        <v>4.376459366861182</v>
      </c>
      <c r="E400" s="28"/>
    </row>
    <row r="401" spans="1:5" x14ac:dyDescent="0.25">
      <c r="A401" s="11">
        <v>0.5</v>
      </c>
      <c r="B401" s="11">
        <v>0.4</v>
      </c>
      <c r="C401" s="7">
        <v>0.2</v>
      </c>
      <c r="D401" s="28">
        <v>4.1172632304491863</v>
      </c>
      <c r="E401" s="28"/>
    </row>
    <row r="402" spans="1:5" x14ac:dyDescent="0.25">
      <c r="A402" s="11">
        <v>0.5</v>
      </c>
      <c r="B402" s="11">
        <v>0.4</v>
      </c>
      <c r="C402" s="7">
        <v>0.3</v>
      </c>
      <c r="D402" s="28">
        <v>3.8845652172512932</v>
      </c>
      <c r="E402" s="28"/>
    </row>
    <row r="403" spans="1:5" x14ac:dyDescent="0.25">
      <c r="A403" s="11">
        <v>0.5</v>
      </c>
      <c r="B403" s="11">
        <v>0.4</v>
      </c>
      <c r="C403" s="7">
        <v>0.4</v>
      </c>
      <c r="D403" s="28">
        <v>3.6664544725266257</v>
      </c>
      <c r="E403" s="28"/>
    </row>
    <row r="404" spans="1:5" x14ac:dyDescent="0.25">
      <c r="A404" s="11">
        <v>0.5</v>
      </c>
      <c r="B404" s="11">
        <v>0.4</v>
      </c>
      <c r="C404" s="7">
        <v>0.5</v>
      </c>
      <c r="D404" s="28">
        <v>3.4611365965664445</v>
      </c>
      <c r="E404" s="28"/>
    </row>
    <row r="405" spans="1:5" x14ac:dyDescent="0.25">
      <c r="A405" s="11">
        <v>0.5</v>
      </c>
      <c r="B405" s="11">
        <v>0.4</v>
      </c>
      <c r="C405" s="7">
        <v>0.6</v>
      </c>
      <c r="D405" s="28">
        <v>3.277717611338602</v>
      </c>
      <c r="E405" s="28"/>
    </row>
    <row r="406" spans="1:5" x14ac:dyDescent="0.25">
      <c r="A406" s="11">
        <v>0.5</v>
      </c>
      <c r="B406" s="11">
        <v>0.4</v>
      </c>
      <c r="C406" s="7">
        <v>0.7</v>
      </c>
      <c r="D406" s="28">
        <v>3.123658832568645</v>
      </c>
      <c r="E406" s="28"/>
    </row>
    <row r="407" spans="1:5" x14ac:dyDescent="0.25">
      <c r="A407" s="11">
        <v>0.5</v>
      </c>
      <c r="B407" s="11">
        <v>0.4</v>
      </c>
      <c r="C407" s="7">
        <v>0.8</v>
      </c>
      <c r="D407" s="28">
        <v>2.9756922464982862</v>
      </c>
      <c r="E407" s="28"/>
    </row>
    <row r="408" spans="1:5" x14ac:dyDescent="0.25">
      <c r="A408" s="11">
        <v>0.5</v>
      </c>
      <c r="B408" s="11">
        <v>0.4</v>
      </c>
      <c r="C408" s="7">
        <v>0.9</v>
      </c>
      <c r="D408" s="28">
        <v>2.8331450965578999</v>
      </c>
      <c r="E408" s="28"/>
    </row>
    <row r="409" spans="1:5" x14ac:dyDescent="0.25">
      <c r="A409" s="11">
        <v>0.5</v>
      </c>
      <c r="B409" s="11">
        <v>0.5</v>
      </c>
      <c r="C409" s="7">
        <v>0.1</v>
      </c>
      <c r="D409" s="28">
        <v>4.5319497448715813</v>
      </c>
      <c r="E409" s="28"/>
    </row>
    <row r="410" spans="1:5" x14ac:dyDescent="0.25">
      <c r="A410" s="11">
        <v>0.5</v>
      </c>
      <c r="B410" s="11">
        <v>0.5</v>
      </c>
      <c r="C410" s="7">
        <v>0.2</v>
      </c>
      <c r="D410" s="28">
        <v>4.2674688325723054</v>
      </c>
      <c r="E410" s="28"/>
    </row>
    <row r="411" spans="1:5" x14ac:dyDescent="0.25">
      <c r="A411" s="11">
        <v>0.5</v>
      </c>
      <c r="B411" s="11">
        <v>0.5</v>
      </c>
      <c r="C411" s="7">
        <v>0.3</v>
      </c>
      <c r="D411" s="28">
        <v>4.0190994662467663</v>
      </c>
      <c r="E411" s="28"/>
    </row>
    <row r="412" spans="1:5" x14ac:dyDescent="0.25">
      <c r="A412" s="11">
        <v>0.5</v>
      </c>
      <c r="B412" s="11">
        <v>0.5</v>
      </c>
      <c r="C412" s="7">
        <v>0.4</v>
      </c>
      <c r="D412" s="28">
        <v>3.785821404803793</v>
      </c>
      <c r="E412" s="28"/>
    </row>
    <row r="413" spans="1:5" x14ac:dyDescent="0.25">
      <c r="A413" s="11">
        <v>0.5</v>
      </c>
      <c r="B413" s="11">
        <v>0.5</v>
      </c>
      <c r="C413" s="7">
        <v>0.5</v>
      </c>
      <c r="D413" s="28">
        <v>3.5665885798281374</v>
      </c>
      <c r="E413" s="28"/>
    </row>
    <row r="414" spans="1:5" x14ac:dyDescent="0.25">
      <c r="A414" s="11">
        <v>0.5</v>
      </c>
      <c r="B414" s="11">
        <v>0.5</v>
      </c>
      <c r="C414" s="7">
        <v>0.6</v>
      </c>
      <c r="D414" s="28">
        <v>3.3823410916139074</v>
      </c>
      <c r="E414" s="28"/>
    </row>
    <row r="415" spans="1:5" x14ac:dyDescent="0.25">
      <c r="A415" s="11">
        <v>0.5</v>
      </c>
      <c r="B415" s="11">
        <v>0.5</v>
      </c>
      <c r="C415" s="7">
        <v>0.7</v>
      </c>
      <c r="D415" s="28">
        <v>3.2189760269720207</v>
      </c>
      <c r="E415" s="28"/>
    </row>
    <row r="416" spans="1:5" x14ac:dyDescent="0.25">
      <c r="A416" s="11">
        <v>0.5</v>
      </c>
      <c r="B416" s="11">
        <v>0.5</v>
      </c>
      <c r="C416" s="7">
        <v>0.8</v>
      </c>
      <c r="D416" s="28">
        <v>3.0620640221005626</v>
      </c>
      <c r="E416" s="28"/>
    </row>
    <row r="417" spans="1:5" x14ac:dyDescent="0.25">
      <c r="A417" s="11">
        <v>0.5</v>
      </c>
      <c r="B417" s="11">
        <v>0.5</v>
      </c>
      <c r="C417" s="7">
        <v>0.9</v>
      </c>
      <c r="D417" s="28">
        <v>2.925371951209859</v>
      </c>
      <c r="E417" s="28"/>
    </row>
    <row r="418" spans="1:5" x14ac:dyDescent="0.25">
      <c r="A418" s="11">
        <v>0.5</v>
      </c>
      <c r="B418" s="11">
        <v>0.6</v>
      </c>
      <c r="C418" s="7">
        <v>0.1</v>
      </c>
      <c r="D418" s="28">
        <v>4.7154219480683199</v>
      </c>
      <c r="E418" s="28"/>
    </row>
    <row r="419" spans="1:5" x14ac:dyDescent="0.25">
      <c r="A419" s="11">
        <v>0.5</v>
      </c>
      <c r="B419" s="11">
        <v>0.6</v>
      </c>
      <c r="C419" s="7">
        <v>0.2</v>
      </c>
      <c r="D419" s="28">
        <v>4.4305408363501053</v>
      </c>
      <c r="E419" s="28"/>
    </row>
    <row r="420" spans="1:5" x14ac:dyDescent="0.25">
      <c r="A420" s="11">
        <v>0.5</v>
      </c>
      <c r="B420" s="11">
        <v>0.6</v>
      </c>
      <c r="C420" s="7">
        <v>0.3</v>
      </c>
      <c r="D420" s="28">
        <v>4.1636585164790478</v>
      </c>
      <c r="E420" s="28"/>
    </row>
    <row r="421" spans="1:5" x14ac:dyDescent="0.25">
      <c r="A421" s="11">
        <v>0.5</v>
      </c>
      <c r="B421" s="11">
        <v>0.6</v>
      </c>
      <c r="C421" s="7">
        <v>0.4</v>
      </c>
      <c r="D421" s="28">
        <v>3.9135275267228207</v>
      </c>
      <c r="E421" s="28"/>
    </row>
    <row r="422" spans="1:5" x14ac:dyDescent="0.25">
      <c r="A422" s="11">
        <v>0.5</v>
      </c>
      <c r="B422" s="11">
        <v>0.6</v>
      </c>
      <c r="C422" s="7">
        <v>0.5</v>
      </c>
      <c r="D422" s="28">
        <v>3.678868262540945</v>
      </c>
      <c r="E422" s="28"/>
    </row>
    <row r="423" spans="1:5" x14ac:dyDescent="0.25">
      <c r="A423" s="11">
        <v>0.5</v>
      </c>
      <c r="B423" s="11">
        <v>0.6</v>
      </c>
      <c r="C423" s="7">
        <v>0.6</v>
      </c>
      <c r="D423" s="28">
        <v>3.4936464951335369</v>
      </c>
      <c r="E423" s="28"/>
    </row>
    <row r="424" spans="1:5" x14ac:dyDescent="0.25">
      <c r="A424" s="11">
        <v>0.5</v>
      </c>
      <c r="B424" s="11">
        <v>0.6</v>
      </c>
      <c r="C424" s="7">
        <v>0.7</v>
      </c>
      <c r="D424" s="28">
        <v>3.3208703651867197</v>
      </c>
      <c r="E424" s="28"/>
    </row>
    <row r="425" spans="1:5" x14ac:dyDescent="0.25">
      <c r="A425" s="11">
        <v>0.5</v>
      </c>
      <c r="B425" s="11">
        <v>0.6</v>
      </c>
      <c r="C425" s="7">
        <v>0.8</v>
      </c>
      <c r="D425" s="28">
        <v>3.155223644906358</v>
      </c>
      <c r="E425" s="28"/>
    </row>
    <row r="426" spans="1:5" x14ac:dyDescent="0.25">
      <c r="A426" s="11">
        <v>0.5</v>
      </c>
      <c r="B426" s="11">
        <v>0.6</v>
      </c>
      <c r="C426" s="7">
        <v>0.9</v>
      </c>
      <c r="D426" s="28">
        <v>3.054765614871088</v>
      </c>
      <c r="E426" s="28"/>
    </row>
    <row r="427" spans="1:5" x14ac:dyDescent="0.25">
      <c r="A427" s="11">
        <v>0.5</v>
      </c>
      <c r="B427" s="11">
        <v>0.7</v>
      </c>
      <c r="C427" s="7">
        <v>0.1</v>
      </c>
      <c r="D427" s="28">
        <v>4.9046920516398655</v>
      </c>
      <c r="E427" s="28"/>
    </row>
    <row r="428" spans="1:5" x14ac:dyDescent="0.25">
      <c r="A428" s="11">
        <v>0.5</v>
      </c>
      <c r="B428" s="11">
        <v>0.7</v>
      </c>
      <c r="C428" s="7">
        <v>0.2</v>
      </c>
      <c r="D428" s="28">
        <v>4.597123358478636</v>
      </c>
      <c r="E428" s="28"/>
    </row>
    <row r="429" spans="1:5" x14ac:dyDescent="0.25">
      <c r="A429" s="11">
        <v>0.5</v>
      </c>
      <c r="B429" s="11">
        <v>0.7</v>
      </c>
      <c r="C429" s="7">
        <v>0.3</v>
      </c>
      <c r="D429" s="28">
        <v>4.3097478041458075</v>
      </c>
      <c r="E429" s="28"/>
    </row>
    <row r="430" spans="1:5" x14ac:dyDescent="0.25">
      <c r="A430" s="11">
        <v>0.5</v>
      </c>
      <c r="B430" s="11">
        <v>0.7</v>
      </c>
      <c r="C430" s="7">
        <v>0.4</v>
      </c>
      <c r="D430" s="28">
        <v>4.0410726010050286</v>
      </c>
      <c r="E430" s="28"/>
    </row>
    <row r="431" spans="1:5" x14ac:dyDescent="0.25">
      <c r="A431" s="11">
        <v>0.5</v>
      </c>
      <c r="B431" s="11">
        <v>0.7</v>
      </c>
      <c r="C431" s="7">
        <v>0.5</v>
      </c>
      <c r="D431" s="28">
        <v>3.7943635803639464</v>
      </c>
      <c r="E431" s="28"/>
    </row>
    <row r="432" spans="1:5" x14ac:dyDescent="0.25">
      <c r="A432" s="11">
        <v>0.5</v>
      </c>
      <c r="B432" s="11">
        <v>0.7</v>
      </c>
      <c r="C432" s="7">
        <v>0.6</v>
      </c>
      <c r="D432" s="28">
        <v>3.6039818406191948</v>
      </c>
      <c r="E432" s="28"/>
    </row>
    <row r="433" spans="1:5" x14ac:dyDescent="0.25">
      <c r="A433" s="11">
        <v>0.5</v>
      </c>
      <c r="B433" s="11">
        <v>0.7</v>
      </c>
      <c r="C433" s="7">
        <v>0.7</v>
      </c>
      <c r="D433" s="28">
        <v>3.4227053829961935</v>
      </c>
      <c r="E433" s="28"/>
    </row>
    <row r="434" spans="1:5" x14ac:dyDescent="0.25">
      <c r="A434" s="11">
        <v>0.5</v>
      </c>
      <c r="B434" s="11">
        <v>0.7</v>
      </c>
      <c r="C434" s="7">
        <v>0.8</v>
      </c>
      <c r="D434" s="28">
        <v>3.2525451172365938</v>
      </c>
      <c r="E434" s="28"/>
    </row>
    <row r="435" spans="1:5" x14ac:dyDescent="0.25">
      <c r="A435" s="11">
        <v>0.5</v>
      </c>
      <c r="B435" s="11">
        <v>0.7</v>
      </c>
      <c r="C435" s="7">
        <v>0.9</v>
      </c>
      <c r="D435" s="28">
        <v>3.198899299175018</v>
      </c>
      <c r="E435" s="28"/>
    </row>
    <row r="436" spans="1:5" x14ac:dyDescent="0.25">
      <c r="A436" s="11">
        <v>0.5</v>
      </c>
      <c r="B436" s="11">
        <v>0.8</v>
      </c>
      <c r="C436" s="7">
        <v>0.1</v>
      </c>
      <c r="D436" s="28">
        <v>5.0992305210721076</v>
      </c>
      <c r="E436" s="28"/>
    </row>
    <row r="437" spans="1:5" x14ac:dyDescent="0.25">
      <c r="A437" s="11">
        <v>0.5</v>
      </c>
      <c r="B437" s="11">
        <v>0.8</v>
      </c>
      <c r="C437" s="7">
        <v>0.2</v>
      </c>
      <c r="D437" s="28">
        <v>4.7669014910537681</v>
      </c>
      <c r="E437" s="28"/>
    </row>
    <row r="438" spans="1:5" x14ac:dyDescent="0.25">
      <c r="A438" s="11">
        <v>0.5</v>
      </c>
      <c r="B438" s="11">
        <v>0.8</v>
      </c>
      <c r="C438" s="7">
        <v>0.3</v>
      </c>
      <c r="D438" s="28">
        <v>4.4573514927266542</v>
      </c>
      <c r="E438" s="28"/>
    </row>
    <row r="439" spans="1:5" x14ac:dyDescent="0.25">
      <c r="A439" s="11">
        <v>0.5</v>
      </c>
      <c r="B439" s="11">
        <v>0.8</v>
      </c>
      <c r="C439" s="7">
        <v>0.4</v>
      </c>
      <c r="D439" s="28">
        <v>4.1688294739889358</v>
      </c>
      <c r="E439" s="28"/>
    </row>
    <row r="440" spans="1:5" x14ac:dyDescent="0.25">
      <c r="A440" s="11">
        <v>0.5</v>
      </c>
      <c r="B440" s="11">
        <v>0.8</v>
      </c>
      <c r="C440" s="7">
        <v>0.5</v>
      </c>
      <c r="D440" s="28">
        <v>3.915808446692818</v>
      </c>
      <c r="E440" s="28"/>
    </row>
    <row r="441" spans="1:5" x14ac:dyDescent="0.25">
      <c r="A441" s="11">
        <v>0.5</v>
      </c>
      <c r="B441" s="11">
        <v>0.8</v>
      </c>
      <c r="C441" s="7">
        <v>0.6</v>
      </c>
      <c r="D441" s="28">
        <v>3.7172585782076841</v>
      </c>
      <c r="E441" s="28"/>
    </row>
    <row r="442" spans="1:5" x14ac:dyDescent="0.25">
      <c r="A442" s="11">
        <v>0.5</v>
      </c>
      <c r="B442" s="11">
        <v>0.8</v>
      </c>
      <c r="C442" s="7">
        <v>0.7</v>
      </c>
      <c r="D442" s="28">
        <v>3.5293607435942289</v>
      </c>
      <c r="E442" s="28"/>
    </row>
    <row r="443" spans="1:5" x14ac:dyDescent="0.25">
      <c r="A443" s="11">
        <v>0.5</v>
      </c>
      <c r="B443" s="11">
        <v>0.8</v>
      </c>
      <c r="C443" s="7">
        <v>0.8</v>
      </c>
      <c r="D443" s="28">
        <v>3.4082292857629297</v>
      </c>
      <c r="E443" s="28"/>
    </row>
    <row r="444" spans="1:5" x14ac:dyDescent="0.25">
      <c r="A444" s="11">
        <v>0.5</v>
      </c>
      <c r="B444" s="11">
        <v>0.8</v>
      </c>
      <c r="C444" s="7">
        <v>0.9</v>
      </c>
      <c r="D444" s="28">
        <v>3.3694390806012953</v>
      </c>
      <c r="E444" s="28"/>
    </row>
    <row r="445" spans="1:5" x14ac:dyDescent="0.25">
      <c r="A445" s="11">
        <v>0.5</v>
      </c>
      <c r="B445" s="11">
        <v>0.9</v>
      </c>
      <c r="C445" s="7">
        <v>0.1</v>
      </c>
      <c r="D445" s="28">
        <v>5.2987323499516155</v>
      </c>
      <c r="E445" s="28"/>
    </row>
    <row r="446" spans="1:5" x14ac:dyDescent="0.25">
      <c r="A446" s="11">
        <v>0.5</v>
      </c>
      <c r="B446" s="11">
        <v>0.9</v>
      </c>
      <c r="C446" s="7">
        <v>0.2</v>
      </c>
      <c r="D446" s="28">
        <v>4.9400307265925578</v>
      </c>
      <c r="E446" s="28"/>
    </row>
    <row r="447" spans="1:5" x14ac:dyDescent="0.25">
      <c r="A447" s="11">
        <v>0.5</v>
      </c>
      <c r="B447" s="11">
        <v>0.9</v>
      </c>
      <c r="C447" s="7">
        <v>0.3</v>
      </c>
      <c r="D447" s="28">
        <v>4.6071556197809338</v>
      </c>
      <c r="E447" s="28"/>
    </row>
    <row r="448" spans="1:5" x14ac:dyDescent="0.25">
      <c r="A448" s="11">
        <v>0.5</v>
      </c>
      <c r="B448" s="11">
        <v>0.9</v>
      </c>
      <c r="C448" s="7">
        <v>0.4</v>
      </c>
      <c r="D448" s="28">
        <v>4.2980891431003085</v>
      </c>
      <c r="E448" s="28"/>
    </row>
    <row r="449" spans="1:5" x14ac:dyDescent="0.25">
      <c r="A449" s="11">
        <v>0.5</v>
      </c>
      <c r="B449" s="11">
        <v>0.9</v>
      </c>
      <c r="C449" s="7">
        <v>0.5</v>
      </c>
      <c r="D449" s="28">
        <v>4.0434028181053598</v>
      </c>
      <c r="E449" s="28"/>
    </row>
    <row r="450" spans="1:5" x14ac:dyDescent="0.25">
      <c r="A450" s="11">
        <v>0.5</v>
      </c>
      <c r="B450" s="11">
        <v>0.9</v>
      </c>
      <c r="C450" s="7">
        <v>0.6</v>
      </c>
      <c r="D450" s="28">
        <v>3.8388137163993417</v>
      </c>
      <c r="E450" s="28"/>
    </row>
    <row r="451" spans="1:5" x14ac:dyDescent="0.25">
      <c r="A451" s="11">
        <v>0.5</v>
      </c>
      <c r="B451" s="11">
        <v>0.9</v>
      </c>
      <c r="C451" s="7">
        <v>0.7</v>
      </c>
      <c r="D451" s="28">
        <v>3.6468329151515975</v>
      </c>
      <c r="E451" s="28"/>
    </row>
    <row r="452" spans="1:5" x14ac:dyDescent="0.25">
      <c r="A452" s="11">
        <v>0.5</v>
      </c>
      <c r="B452" s="11">
        <v>0.9</v>
      </c>
      <c r="C452" s="7">
        <v>0.8</v>
      </c>
      <c r="D452" s="28">
        <v>3.5836452446807021</v>
      </c>
      <c r="E452" s="28"/>
    </row>
    <row r="453" spans="1:5" ht="15.75" thickBot="1" x14ac:dyDescent="0.3">
      <c r="A453" s="11">
        <v>0.5</v>
      </c>
      <c r="B453" s="27">
        <v>0.9</v>
      </c>
      <c r="C453" s="9">
        <v>0.9</v>
      </c>
      <c r="D453" s="28">
        <v>3.5589374243312033</v>
      </c>
      <c r="E453" s="28"/>
    </row>
    <row r="454" spans="1:5" x14ac:dyDescent="0.25">
      <c r="A454" s="11">
        <v>0.6</v>
      </c>
      <c r="B454" s="11">
        <v>0.1</v>
      </c>
      <c r="C454" s="7">
        <v>0.1</v>
      </c>
      <c r="D454" s="28">
        <v>4.2682150617367807</v>
      </c>
      <c r="E454" s="28"/>
    </row>
    <row r="455" spans="1:5" x14ac:dyDescent="0.25">
      <c r="A455" s="11">
        <v>0.6</v>
      </c>
      <c r="B455" s="11">
        <v>0.1</v>
      </c>
      <c r="C455" s="7">
        <v>0.2</v>
      </c>
      <c r="D455" s="28">
        <v>4.0784370467042272</v>
      </c>
      <c r="E455" s="28"/>
    </row>
    <row r="456" spans="1:5" x14ac:dyDescent="0.25">
      <c r="A456" s="11">
        <v>0.6</v>
      </c>
      <c r="B456" s="11">
        <v>0.1</v>
      </c>
      <c r="C456" s="7">
        <v>0.3</v>
      </c>
      <c r="D456" s="28">
        <v>3.8980847579417226</v>
      </c>
      <c r="E456" s="28"/>
    </row>
    <row r="457" spans="1:5" x14ac:dyDescent="0.25">
      <c r="A457" s="11">
        <v>0.6</v>
      </c>
      <c r="B457" s="11">
        <v>0.1</v>
      </c>
      <c r="C457" s="7">
        <v>0.4</v>
      </c>
      <c r="D457" s="28">
        <v>3.7267389171906653</v>
      </c>
      <c r="E457" s="28"/>
    </row>
    <row r="458" spans="1:5" x14ac:dyDescent="0.25">
      <c r="A458" s="11">
        <v>0.6</v>
      </c>
      <c r="B458" s="11">
        <v>0.1</v>
      </c>
      <c r="C458" s="7">
        <v>0.5</v>
      </c>
      <c r="D458" s="28">
        <v>3.5639786339681185</v>
      </c>
      <c r="E458" s="28"/>
    </row>
    <row r="459" spans="1:5" x14ac:dyDescent="0.25">
      <c r="A459" s="11">
        <v>0.6</v>
      </c>
      <c r="B459" s="11">
        <v>0.1</v>
      </c>
      <c r="C459" s="7">
        <v>0.6</v>
      </c>
      <c r="D459" s="28">
        <v>3.4093805051832158</v>
      </c>
      <c r="E459" s="28"/>
    </row>
    <row r="460" spans="1:5" x14ac:dyDescent="0.25">
      <c r="A460" s="11">
        <v>0.6</v>
      </c>
      <c r="B460" s="11">
        <v>0.1</v>
      </c>
      <c r="C460" s="7">
        <v>0.7</v>
      </c>
      <c r="D460" s="28">
        <v>3.2625178380408499</v>
      </c>
      <c r="E460" s="28"/>
    </row>
    <row r="461" spans="1:5" x14ac:dyDescent="0.25">
      <c r="A461" s="11">
        <v>0.6</v>
      </c>
      <c r="B461" s="11">
        <v>0.1</v>
      </c>
      <c r="C461" s="7">
        <v>0.8</v>
      </c>
      <c r="D461" s="28">
        <v>3.1229599532368342</v>
      </c>
      <c r="E461" s="28"/>
    </row>
    <row r="462" spans="1:5" x14ac:dyDescent="0.25">
      <c r="A462" s="11">
        <v>0.6</v>
      </c>
      <c r="B462" s="11">
        <v>0.1</v>
      </c>
      <c r="C462" s="7">
        <v>0.9</v>
      </c>
      <c r="D462" s="28">
        <v>3.0052943678421182</v>
      </c>
      <c r="E462" s="28"/>
    </row>
    <row r="463" spans="1:5" x14ac:dyDescent="0.25">
      <c r="A463" s="11">
        <v>0.6</v>
      </c>
      <c r="B463" s="11">
        <v>0.2</v>
      </c>
      <c r="C463" s="7">
        <v>0.1</v>
      </c>
      <c r="D463" s="28">
        <v>4.4715068064555172</v>
      </c>
      <c r="E463" s="28"/>
    </row>
    <row r="464" spans="1:5" x14ac:dyDescent="0.25">
      <c r="A464" s="11">
        <v>0.6</v>
      </c>
      <c r="B464" s="11">
        <v>0.2</v>
      </c>
      <c r="C464" s="7">
        <v>0.2</v>
      </c>
      <c r="D464" s="28">
        <v>4.2641050457611307</v>
      </c>
      <c r="E464" s="28"/>
    </row>
    <row r="465" spans="1:5" x14ac:dyDescent="0.25">
      <c r="A465" s="11">
        <v>0.6</v>
      </c>
      <c r="B465" s="11">
        <v>0.2</v>
      </c>
      <c r="C465" s="7">
        <v>0.3</v>
      </c>
      <c r="D465" s="28">
        <v>4.0674225647281528</v>
      </c>
      <c r="E465" s="28"/>
    </row>
    <row r="466" spans="1:5" x14ac:dyDescent="0.25">
      <c r="A466" s="11">
        <v>0.6</v>
      </c>
      <c r="B466" s="11">
        <v>0.2</v>
      </c>
      <c r="C466" s="7">
        <v>0.4</v>
      </c>
      <c r="D466" s="28">
        <v>3.8809521589832725</v>
      </c>
      <c r="E466" s="28"/>
    </row>
    <row r="467" spans="1:5" x14ac:dyDescent="0.25">
      <c r="A467" s="11">
        <v>0.6</v>
      </c>
      <c r="B467" s="11">
        <v>0.2</v>
      </c>
      <c r="C467" s="7">
        <v>0.5</v>
      </c>
      <c r="D467" s="28">
        <v>3.7041812760875179</v>
      </c>
      <c r="E467" s="28"/>
    </row>
    <row r="468" spans="1:5" x14ac:dyDescent="0.25">
      <c r="A468" s="11">
        <v>0.6</v>
      </c>
      <c r="B468" s="11">
        <v>0.2</v>
      </c>
      <c r="C468" s="7">
        <v>0.6</v>
      </c>
      <c r="D468" s="28">
        <v>3.5365912764413423</v>
      </c>
      <c r="E468" s="28"/>
    </row>
    <row r="469" spans="1:5" x14ac:dyDescent="0.25">
      <c r="A469" s="11">
        <v>0.6</v>
      </c>
      <c r="B469" s="11">
        <v>0.2</v>
      </c>
      <c r="C469" s="7">
        <v>0.7</v>
      </c>
      <c r="D469" s="28">
        <v>3.3776568095624584</v>
      </c>
      <c r="E469" s="28"/>
    </row>
    <row r="470" spans="1:5" x14ac:dyDescent="0.25">
      <c r="A470" s="11">
        <v>0.6</v>
      </c>
      <c r="B470" s="11">
        <v>0.2</v>
      </c>
      <c r="C470" s="7">
        <v>0.8</v>
      </c>
      <c r="D470" s="28">
        <v>3.2477944657802515</v>
      </c>
      <c r="E470" s="28"/>
    </row>
    <row r="471" spans="1:5" x14ac:dyDescent="0.25">
      <c r="A471" s="11">
        <v>0.6</v>
      </c>
      <c r="B471" s="11">
        <v>0.2</v>
      </c>
      <c r="C471" s="7">
        <v>0.9</v>
      </c>
      <c r="D471" s="28">
        <v>3.1294796331646229</v>
      </c>
      <c r="E471" s="28"/>
    </row>
    <row r="472" spans="1:5" x14ac:dyDescent="0.25">
      <c r="A472" s="11">
        <v>0.6</v>
      </c>
      <c r="B472" s="11">
        <v>0.3</v>
      </c>
      <c r="C472" s="7">
        <v>0.1</v>
      </c>
      <c r="D472" s="28">
        <v>4.6550788555292621</v>
      </c>
      <c r="E472" s="28"/>
    </row>
    <row r="473" spans="1:5" x14ac:dyDescent="0.25">
      <c r="A473" s="11">
        <v>0.6</v>
      </c>
      <c r="B473" s="11">
        <v>0.3</v>
      </c>
      <c r="C473" s="7">
        <v>0.2</v>
      </c>
      <c r="D473" s="28">
        <v>4.4297910124194058</v>
      </c>
      <c r="E473" s="28"/>
    </row>
    <row r="474" spans="1:5" x14ac:dyDescent="0.25">
      <c r="A474" s="11">
        <v>0.6</v>
      </c>
      <c r="B474" s="11">
        <v>0.3</v>
      </c>
      <c r="C474" s="7">
        <v>0.3</v>
      </c>
      <c r="D474" s="28">
        <v>4.2166520726526215</v>
      </c>
      <c r="E474" s="28"/>
    </row>
    <row r="475" spans="1:5" x14ac:dyDescent="0.25">
      <c r="A475" s="11">
        <v>0.6</v>
      </c>
      <c r="B475" s="11">
        <v>0.3</v>
      </c>
      <c r="C475" s="7">
        <v>0.4</v>
      </c>
      <c r="D475" s="28">
        <v>4.0150466778029728</v>
      </c>
      <c r="E475" s="28"/>
    </row>
    <row r="476" spans="1:5" x14ac:dyDescent="0.25">
      <c r="A476" s="11">
        <v>0.6</v>
      </c>
      <c r="B476" s="11">
        <v>0.3</v>
      </c>
      <c r="C476" s="7">
        <v>0.5</v>
      </c>
      <c r="D476" s="28">
        <v>3.8243502463908214</v>
      </c>
      <c r="E476" s="28"/>
    </row>
    <row r="477" spans="1:5" x14ac:dyDescent="0.25">
      <c r="A477" s="11">
        <v>0.6</v>
      </c>
      <c r="B477" s="11">
        <v>0.3</v>
      </c>
      <c r="C477" s="7">
        <v>0.6</v>
      </c>
      <c r="D477" s="28">
        <v>3.6439284159728396</v>
      </c>
      <c r="E477" s="28"/>
    </row>
    <row r="478" spans="1:5" x14ac:dyDescent="0.25">
      <c r="A478" s="11">
        <v>0.6</v>
      </c>
      <c r="B478" s="11">
        <v>0.3</v>
      </c>
      <c r="C478" s="7">
        <v>0.7</v>
      </c>
      <c r="D478" s="28">
        <v>3.4772454067787435</v>
      </c>
      <c r="E478" s="28"/>
    </row>
    <row r="479" spans="1:5" x14ac:dyDescent="0.25">
      <c r="A479" s="11">
        <v>0.6</v>
      </c>
      <c r="B479" s="11">
        <v>0.3</v>
      </c>
      <c r="C479" s="7">
        <v>0.8</v>
      </c>
      <c r="D479" s="28">
        <v>3.3468109585286245</v>
      </c>
      <c r="E479" s="28"/>
    </row>
    <row r="480" spans="1:5" x14ac:dyDescent="0.25">
      <c r="A480" s="11">
        <v>0.6</v>
      </c>
      <c r="B480" s="11">
        <v>0.3</v>
      </c>
      <c r="C480" s="7">
        <v>0.9</v>
      </c>
      <c r="D480" s="28">
        <v>3.2216785938840302</v>
      </c>
      <c r="E480" s="28"/>
    </row>
    <row r="481" spans="1:5" x14ac:dyDescent="0.25">
      <c r="A481" s="11">
        <v>0.6</v>
      </c>
      <c r="B481" s="11">
        <v>0.4</v>
      </c>
      <c r="C481" s="7">
        <v>0.1</v>
      </c>
      <c r="D481" s="28">
        <v>4.8616364420287237</v>
      </c>
      <c r="E481" s="28"/>
    </row>
    <row r="482" spans="1:5" x14ac:dyDescent="0.25">
      <c r="A482" s="11">
        <v>0.6</v>
      </c>
      <c r="B482" s="11">
        <v>0.4</v>
      </c>
      <c r="C482" s="7">
        <v>0.2</v>
      </c>
      <c r="D482" s="28">
        <v>4.6173187705708312</v>
      </c>
      <c r="E482" s="28"/>
    </row>
    <row r="483" spans="1:5" x14ac:dyDescent="0.25">
      <c r="A483" s="11">
        <v>0.6</v>
      </c>
      <c r="B483" s="11">
        <v>0.4</v>
      </c>
      <c r="C483" s="7">
        <v>0.3</v>
      </c>
      <c r="D483" s="28">
        <v>4.3867599523294238</v>
      </c>
      <c r="E483" s="28"/>
    </row>
    <row r="484" spans="1:5" x14ac:dyDescent="0.25">
      <c r="A484" s="11">
        <v>0.6</v>
      </c>
      <c r="B484" s="11">
        <v>0.4</v>
      </c>
      <c r="C484" s="7">
        <v>0.4</v>
      </c>
      <c r="D484" s="28">
        <v>4.1692196517160607</v>
      </c>
      <c r="E484" s="28"/>
    </row>
    <row r="485" spans="1:5" x14ac:dyDescent="0.25">
      <c r="A485" s="11">
        <v>0.6</v>
      </c>
      <c r="B485" s="11">
        <v>0.4</v>
      </c>
      <c r="C485" s="7">
        <v>0.5</v>
      </c>
      <c r="D485" s="28">
        <v>3.9639441727596161</v>
      </c>
      <c r="E485" s="28"/>
    </row>
    <row r="486" spans="1:5" x14ac:dyDescent="0.25">
      <c r="A486" s="11">
        <v>0.6</v>
      </c>
      <c r="B486" s="11">
        <v>0.4</v>
      </c>
      <c r="C486" s="7">
        <v>0.6</v>
      </c>
      <c r="D486" s="28">
        <v>3.770166092864601</v>
      </c>
      <c r="E486" s="28"/>
    </row>
    <row r="487" spans="1:5" x14ac:dyDescent="0.25">
      <c r="A487" s="11">
        <v>0.6</v>
      </c>
      <c r="B487" s="11">
        <v>0.4</v>
      </c>
      <c r="C487" s="7">
        <v>0.7</v>
      </c>
      <c r="D487" s="28">
        <v>3.6037796837970522</v>
      </c>
      <c r="E487" s="28"/>
    </row>
    <row r="488" spans="1:5" x14ac:dyDescent="0.25">
      <c r="A488" s="11">
        <v>0.6</v>
      </c>
      <c r="B488" s="11">
        <v>0.4</v>
      </c>
      <c r="C488" s="7">
        <v>0.8</v>
      </c>
      <c r="D488" s="28">
        <v>3.4662229045353139</v>
      </c>
      <c r="E488" s="28"/>
    </row>
    <row r="489" spans="1:5" x14ac:dyDescent="0.25">
      <c r="A489" s="11">
        <v>0.6</v>
      </c>
      <c r="B489" s="11">
        <v>0.4</v>
      </c>
      <c r="C489" s="7">
        <v>0.9</v>
      </c>
      <c r="D489" s="28">
        <v>3.3345646434042937</v>
      </c>
      <c r="E489" s="28"/>
    </row>
    <row r="490" spans="1:5" x14ac:dyDescent="0.25">
      <c r="A490" s="11">
        <v>0.6</v>
      </c>
      <c r="B490" s="11">
        <v>0.5</v>
      </c>
      <c r="C490" s="7">
        <v>0.1</v>
      </c>
      <c r="D490" s="28">
        <v>5.0897493930396722</v>
      </c>
      <c r="E490" s="28"/>
    </row>
    <row r="491" spans="1:5" x14ac:dyDescent="0.25">
      <c r="A491" s="11">
        <v>0.6</v>
      </c>
      <c r="B491" s="11">
        <v>0.5</v>
      </c>
      <c r="C491" s="7">
        <v>0.2</v>
      </c>
      <c r="D491" s="28">
        <v>4.824756655169403</v>
      </c>
      <c r="E491" s="28"/>
    </row>
    <row r="492" spans="1:5" x14ac:dyDescent="0.25">
      <c r="A492" s="11">
        <v>0.6</v>
      </c>
      <c r="B492" s="11">
        <v>0.5</v>
      </c>
      <c r="C492" s="7">
        <v>0.3</v>
      </c>
      <c r="D492" s="28">
        <v>4.5753636491233909</v>
      </c>
      <c r="E492" s="28"/>
    </row>
    <row r="493" spans="1:5" x14ac:dyDescent="0.25">
      <c r="A493" s="11">
        <v>0.6</v>
      </c>
      <c r="B493" s="11">
        <v>0.5</v>
      </c>
      <c r="C493" s="7">
        <v>0.4</v>
      </c>
      <c r="D493" s="28">
        <v>4.3406930304044611</v>
      </c>
      <c r="E493" s="28"/>
    </row>
    <row r="494" spans="1:5" x14ac:dyDescent="0.25">
      <c r="A494" s="11">
        <v>0.6</v>
      </c>
      <c r="B494" s="11">
        <v>0.5</v>
      </c>
      <c r="C494" s="7">
        <v>0.5</v>
      </c>
      <c r="D494" s="28">
        <v>4.1198493944766801</v>
      </c>
      <c r="E494" s="28"/>
    </row>
    <row r="495" spans="1:5" x14ac:dyDescent="0.25">
      <c r="A495" s="11">
        <v>0.6</v>
      </c>
      <c r="B495" s="11">
        <v>0.5</v>
      </c>
      <c r="C495" s="7">
        <v>0.6</v>
      </c>
      <c r="D495" s="28">
        <v>3.9119191242440654</v>
      </c>
      <c r="E495" s="28"/>
    </row>
    <row r="496" spans="1:5" x14ac:dyDescent="0.25">
      <c r="A496" s="11">
        <v>0.6</v>
      </c>
      <c r="B496" s="11">
        <v>0.5</v>
      </c>
      <c r="C496" s="7">
        <v>0.7</v>
      </c>
      <c r="D496" s="28">
        <v>3.7481713697394667</v>
      </c>
      <c r="E496" s="28"/>
    </row>
    <row r="497" spans="1:5" x14ac:dyDescent="0.25">
      <c r="A497" s="11">
        <v>0.6</v>
      </c>
      <c r="B497" s="11">
        <v>0.5</v>
      </c>
      <c r="C497" s="7">
        <v>0.8</v>
      </c>
      <c r="D497" s="28">
        <v>3.603941382054261</v>
      </c>
      <c r="E497" s="28"/>
    </row>
    <row r="498" spans="1:5" x14ac:dyDescent="0.25">
      <c r="A498" s="11">
        <v>0.6</v>
      </c>
      <c r="B498" s="11">
        <v>0.5</v>
      </c>
      <c r="C498" s="7">
        <v>0.9</v>
      </c>
      <c r="D498" s="28">
        <v>3.4664499239920481</v>
      </c>
      <c r="E498" s="28"/>
    </row>
    <row r="499" spans="1:5" x14ac:dyDescent="0.25">
      <c r="A499" s="11">
        <v>0.6</v>
      </c>
      <c r="B499" s="11">
        <v>0.6</v>
      </c>
      <c r="C499" s="7">
        <v>0.1</v>
      </c>
      <c r="D499" s="28">
        <v>5.3242704070116265</v>
      </c>
      <c r="E499" s="28"/>
    </row>
    <row r="500" spans="1:5" x14ac:dyDescent="0.25">
      <c r="A500" s="11">
        <v>0.6</v>
      </c>
      <c r="B500" s="11">
        <v>0.6</v>
      </c>
      <c r="C500" s="7">
        <v>0.2</v>
      </c>
      <c r="D500" s="28">
        <v>5.0369233414255197</v>
      </c>
      <c r="E500" s="28"/>
    </row>
    <row r="501" spans="1:5" x14ac:dyDescent="0.25">
      <c r="A501" s="11">
        <v>0.6</v>
      </c>
      <c r="B501" s="11">
        <v>0.6</v>
      </c>
      <c r="C501" s="7">
        <v>0.3</v>
      </c>
      <c r="D501" s="28">
        <v>4.767294072829551</v>
      </c>
      <c r="E501" s="28"/>
    </row>
    <row r="502" spans="1:5" x14ac:dyDescent="0.25">
      <c r="A502" s="11">
        <v>0.6</v>
      </c>
      <c r="B502" s="11">
        <v>0.6</v>
      </c>
      <c r="C502" s="7">
        <v>0.4</v>
      </c>
      <c r="D502" s="28">
        <v>4.5143612049867068</v>
      </c>
      <c r="E502" s="28"/>
    </row>
    <row r="503" spans="1:5" x14ac:dyDescent="0.25">
      <c r="A503" s="11">
        <v>0.6</v>
      </c>
      <c r="B503" s="11">
        <v>0.6</v>
      </c>
      <c r="C503" s="7">
        <v>0.5</v>
      </c>
      <c r="D503" s="28">
        <v>4.2770796292001876</v>
      </c>
      <c r="E503" s="28"/>
    </row>
    <row r="504" spans="1:5" x14ac:dyDescent="0.25">
      <c r="A504" s="11">
        <v>0.6</v>
      </c>
      <c r="B504" s="11">
        <v>0.6</v>
      </c>
      <c r="C504" s="7">
        <v>0.6</v>
      </c>
      <c r="D504" s="28">
        <v>4.0543806494923338</v>
      </c>
      <c r="E504" s="28"/>
    </row>
    <row r="505" spans="1:5" x14ac:dyDescent="0.25">
      <c r="A505" s="11">
        <v>0.6</v>
      </c>
      <c r="B505" s="11">
        <v>0.6</v>
      </c>
      <c r="C505" s="7">
        <v>0.7</v>
      </c>
      <c r="D505" s="28">
        <v>3.8956759410990491</v>
      </c>
      <c r="E505" s="28"/>
    </row>
    <row r="506" spans="1:5" x14ac:dyDescent="0.25">
      <c r="A506" s="11">
        <v>0.6</v>
      </c>
      <c r="B506" s="11">
        <v>0.6</v>
      </c>
      <c r="C506" s="7">
        <v>0.8</v>
      </c>
      <c r="D506" s="28">
        <v>3.7458554893188887</v>
      </c>
      <c r="E506" s="28"/>
    </row>
    <row r="507" spans="1:5" x14ac:dyDescent="0.25">
      <c r="A507" s="11">
        <v>0.6</v>
      </c>
      <c r="B507" s="11">
        <v>0.6</v>
      </c>
      <c r="C507" s="7">
        <v>0.9</v>
      </c>
      <c r="D507" s="28">
        <v>3.6038859912467549</v>
      </c>
      <c r="E507" s="28"/>
    </row>
    <row r="508" spans="1:5" x14ac:dyDescent="0.25">
      <c r="A508" s="11">
        <v>0.6</v>
      </c>
      <c r="B508" s="11">
        <v>0.7</v>
      </c>
      <c r="C508" s="7">
        <v>0.1</v>
      </c>
      <c r="D508" s="28">
        <v>5.5662006222728548</v>
      </c>
      <c r="E508" s="28"/>
    </row>
    <row r="509" spans="1:5" x14ac:dyDescent="0.25">
      <c r="A509" s="11">
        <v>0.6</v>
      </c>
      <c r="B509" s="11">
        <v>0.7</v>
      </c>
      <c r="C509" s="7">
        <v>0.2</v>
      </c>
      <c r="D509" s="28">
        <v>5.2551320963145542</v>
      </c>
      <c r="E509" s="28"/>
    </row>
    <row r="510" spans="1:5" x14ac:dyDescent="0.25">
      <c r="A510" s="11">
        <v>0.6</v>
      </c>
      <c r="B510" s="11">
        <v>0.7</v>
      </c>
      <c r="C510" s="7">
        <v>0.3</v>
      </c>
      <c r="D510" s="28">
        <v>4.9642047402059699</v>
      </c>
      <c r="E510" s="28"/>
    </row>
    <row r="511" spans="1:5" x14ac:dyDescent="0.25">
      <c r="A511" s="11">
        <v>0.6</v>
      </c>
      <c r="B511" s="11">
        <v>0.7</v>
      </c>
      <c r="C511" s="7">
        <v>0.4</v>
      </c>
      <c r="D511" s="28">
        <v>4.6922508080027079</v>
      </c>
      <c r="E511" s="28"/>
    </row>
    <row r="512" spans="1:5" x14ac:dyDescent="0.25">
      <c r="A512" s="11">
        <v>0.6</v>
      </c>
      <c r="B512" s="11">
        <v>0.7</v>
      </c>
      <c r="C512" s="7">
        <v>0.5</v>
      </c>
      <c r="D512" s="28">
        <v>4.4380718392642686</v>
      </c>
      <c r="E512" s="28"/>
    </row>
    <row r="513" spans="1:5" x14ac:dyDescent="0.25">
      <c r="A513" s="11">
        <v>0.6</v>
      </c>
      <c r="B513" s="11">
        <v>0.7</v>
      </c>
      <c r="C513" s="7">
        <v>0.6</v>
      </c>
      <c r="D513" s="28">
        <v>4.2134468505009792</v>
      </c>
      <c r="E513" s="28"/>
    </row>
    <row r="514" spans="1:5" x14ac:dyDescent="0.25">
      <c r="A514" s="11">
        <v>0.6</v>
      </c>
      <c r="B514" s="11">
        <v>0.7</v>
      </c>
      <c r="C514" s="7">
        <v>0.7</v>
      </c>
      <c r="D514" s="28">
        <v>4.0500943694046967</v>
      </c>
      <c r="E514" s="28"/>
    </row>
    <row r="515" spans="1:5" x14ac:dyDescent="0.25">
      <c r="A515" s="11">
        <v>0.6</v>
      </c>
      <c r="B515" s="11">
        <v>0.7</v>
      </c>
      <c r="C515" s="7">
        <v>0.8</v>
      </c>
      <c r="D515" s="28">
        <v>3.8962341059271268</v>
      </c>
      <c r="E515" s="28"/>
    </row>
    <row r="516" spans="1:5" x14ac:dyDescent="0.25">
      <c r="A516" s="11">
        <v>0.6</v>
      </c>
      <c r="B516" s="11">
        <v>0.7</v>
      </c>
      <c r="C516" s="7">
        <v>0.9</v>
      </c>
      <c r="D516" s="28">
        <v>3.7515970227384576</v>
      </c>
      <c r="E516" s="28"/>
    </row>
    <row r="517" spans="1:5" x14ac:dyDescent="0.25">
      <c r="A517" s="11">
        <v>0.6</v>
      </c>
      <c r="B517" s="11">
        <v>0.8</v>
      </c>
      <c r="C517" s="7">
        <v>0.1</v>
      </c>
      <c r="D517" s="28">
        <v>5.8161693294023848</v>
      </c>
      <c r="E517" s="28"/>
    </row>
    <row r="518" spans="1:5" x14ac:dyDescent="0.25">
      <c r="A518" s="11">
        <v>0.6</v>
      </c>
      <c r="B518" s="11">
        <v>0.8</v>
      </c>
      <c r="C518" s="7">
        <v>0.2</v>
      </c>
      <c r="D518" s="28">
        <v>5.4804842599517603</v>
      </c>
      <c r="E518" s="28"/>
    </row>
    <row r="519" spans="1:5" x14ac:dyDescent="0.25">
      <c r="A519" s="11">
        <v>0.6</v>
      </c>
      <c r="B519" s="11">
        <v>0.8</v>
      </c>
      <c r="C519" s="7">
        <v>0.3</v>
      </c>
      <c r="D519" s="28">
        <v>5.1676670725484772</v>
      </c>
      <c r="E519" s="28"/>
    </row>
    <row r="520" spans="1:5" x14ac:dyDescent="0.25">
      <c r="A520" s="11">
        <v>0.6</v>
      </c>
      <c r="B520" s="11">
        <v>0.8</v>
      </c>
      <c r="C520" s="7">
        <v>0.4</v>
      </c>
      <c r="D520" s="28">
        <v>4.8764059207281463</v>
      </c>
      <c r="E520" s="28"/>
    </row>
    <row r="521" spans="1:5" x14ac:dyDescent="0.25">
      <c r="A521" s="11">
        <v>0.6</v>
      </c>
      <c r="B521" s="11">
        <v>0.8</v>
      </c>
      <c r="C521" s="7">
        <v>0.5</v>
      </c>
      <c r="D521" s="28">
        <v>4.6053495285596355</v>
      </c>
      <c r="E521" s="28"/>
    </row>
    <row r="522" spans="1:5" x14ac:dyDescent="0.25">
      <c r="A522" s="11">
        <v>0.6</v>
      </c>
      <c r="B522" s="11">
        <v>0.8</v>
      </c>
      <c r="C522" s="7">
        <v>0.6</v>
      </c>
      <c r="D522" s="28">
        <v>4.3820240968169886</v>
      </c>
      <c r="E522" s="28"/>
    </row>
    <row r="523" spans="1:5" x14ac:dyDescent="0.25">
      <c r="A523" s="11">
        <v>0.6</v>
      </c>
      <c r="B523" s="11">
        <v>0.8</v>
      </c>
      <c r="C523" s="7">
        <v>0.7</v>
      </c>
      <c r="D523" s="28">
        <v>4.2147242867187913</v>
      </c>
      <c r="E523" s="28"/>
    </row>
    <row r="524" spans="1:5" x14ac:dyDescent="0.25">
      <c r="A524" s="11">
        <v>0.6</v>
      </c>
      <c r="B524" s="11">
        <v>0.8</v>
      </c>
      <c r="C524" s="7">
        <v>0.8</v>
      </c>
      <c r="D524" s="28">
        <v>4.0584447211067705</v>
      </c>
      <c r="E524" s="28"/>
    </row>
    <row r="525" spans="1:5" x14ac:dyDescent="0.25">
      <c r="A525" s="11">
        <v>0.6</v>
      </c>
      <c r="B525" s="11">
        <v>0.8</v>
      </c>
      <c r="C525" s="7">
        <v>0.9</v>
      </c>
      <c r="D525" s="28">
        <v>3.9129711579948641</v>
      </c>
      <c r="E525" s="28"/>
    </row>
    <row r="526" spans="1:5" x14ac:dyDescent="0.25">
      <c r="A526" s="11">
        <v>0.6</v>
      </c>
      <c r="B526" s="11">
        <v>0.9</v>
      </c>
      <c r="C526" s="7">
        <v>0.1</v>
      </c>
      <c r="D526" s="28">
        <v>6.0751479770597552</v>
      </c>
      <c r="E526" s="28"/>
    </row>
    <row r="527" spans="1:5" x14ac:dyDescent="0.25">
      <c r="A527" s="11">
        <v>0.6</v>
      </c>
      <c r="B527" s="11">
        <v>0.9</v>
      </c>
      <c r="C527" s="7">
        <v>0.2</v>
      </c>
      <c r="D527" s="28">
        <v>5.7144253752122127</v>
      </c>
      <c r="E527" s="28"/>
    </row>
    <row r="528" spans="1:5" x14ac:dyDescent="0.25">
      <c r="A528" s="11">
        <v>0.6</v>
      </c>
      <c r="B528" s="11">
        <v>0.9</v>
      </c>
      <c r="C528" s="7">
        <v>0.3</v>
      </c>
      <c r="D528" s="28">
        <v>5.3795608674791824</v>
      </c>
      <c r="E528" s="28"/>
    </row>
    <row r="529" spans="1:5" x14ac:dyDescent="0.25">
      <c r="A529" s="11">
        <v>0.6</v>
      </c>
      <c r="B529" s="11">
        <v>0.9</v>
      </c>
      <c r="C529" s="7">
        <v>0.4</v>
      </c>
      <c r="D529" s="28">
        <v>5.0691052892953961</v>
      </c>
      <c r="E529" s="28"/>
    </row>
    <row r="530" spans="1:5" x14ac:dyDescent="0.25">
      <c r="A530" s="11">
        <v>0.6</v>
      </c>
      <c r="B530" s="11">
        <v>0.9</v>
      </c>
      <c r="C530" s="7">
        <v>0.5</v>
      </c>
      <c r="D530" s="28">
        <v>4.7815592718196127</v>
      </c>
      <c r="E530" s="28"/>
    </row>
    <row r="531" spans="1:5" x14ac:dyDescent="0.25">
      <c r="A531" s="11">
        <v>0.6</v>
      </c>
      <c r="B531" s="11">
        <v>0.9</v>
      </c>
      <c r="C531" s="7">
        <v>0.6</v>
      </c>
      <c r="D531" s="28">
        <v>4.5610690181706248</v>
      </c>
      <c r="E531" s="28"/>
    </row>
    <row r="532" spans="1:5" x14ac:dyDescent="0.25">
      <c r="A532" s="11">
        <v>0.6</v>
      </c>
      <c r="B532" s="11">
        <v>0.9</v>
      </c>
      <c r="C532" s="7">
        <v>0.7</v>
      </c>
      <c r="D532" s="28">
        <v>4.3909718215164961</v>
      </c>
      <c r="E532" s="28"/>
    </row>
    <row r="533" spans="1:5" x14ac:dyDescent="0.25">
      <c r="A533" s="11">
        <v>0.6</v>
      </c>
      <c r="B533" s="11">
        <v>0.9</v>
      </c>
      <c r="C533" s="7">
        <v>0.8</v>
      </c>
      <c r="D533" s="28">
        <v>4.2335244816451896</v>
      </c>
      <c r="E533" s="28"/>
    </row>
    <row r="534" spans="1:5" ht="15.75" thickBot="1" x14ac:dyDescent="0.3">
      <c r="A534" s="11">
        <v>0.6</v>
      </c>
      <c r="B534" s="27">
        <v>0.9</v>
      </c>
      <c r="C534" s="9">
        <v>0.9</v>
      </c>
      <c r="D534" s="28">
        <v>4.1068223980906158</v>
      </c>
      <c r="E534" s="28"/>
    </row>
    <row r="535" spans="1:5" x14ac:dyDescent="0.25">
      <c r="A535" s="11">
        <v>0.7</v>
      </c>
      <c r="B535" s="11">
        <v>0.1</v>
      </c>
      <c r="C535" s="7">
        <v>0.1</v>
      </c>
      <c r="D535" s="28">
        <v>4.6254726278993319</v>
      </c>
      <c r="E535" s="28"/>
    </row>
    <row r="536" spans="1:5" x14ac:dyDescent="0.25">
      <c r="A536" s="11">
        <v>0.7</v>
      </c>
      <c r="B536" s="11">
        <v>0.1</v>
      </c>
      <c r="C536" s="7">
        <v>0.2</v>
      </c>
      <c r="D536" s="28">
        <v>4.4589341289539322</v>
      </c>
      <c r="E536" s="28"/>
    </row>
    <row r="537" spans="1:5" x14ac:dyDescent="0.25">
      <c r="A537" s="11">
        <v>0.7</v>
      </c>
      <c r="B537" s="11">
        <v>0.1</v>
      </c>
      <c r="C537" s="7">
        <v>0.3</v>
      </c>
      <c r="D537" s="28">
        <v>4.2994597020510739</v>
      </c>
      <c r="E537" s="28"/>
    </row>
    <row r="538" spans="1:5" x14ac:dyDescent="0.25">
      <c r="A538" s="11">
        <v>0.7</v>
      </c>
      <c r="B538" s="11">
        <v>0.1</v>
      </c>
      <c r="C538" s="7">
        <v>0.4</v>
      </c>
      <c r="D538" s="28">
        <v>4.1467823968583044</v>
      </c>
      <c r="E538" s="28"/>
    </row>
    <row r="539" spans="1:5" x14ac:dyDescent="0.25">
      <c r="A539" s="11">
        <v>0.7</v>
      </c>
      <c r="B539" s="11">
        <v>0.1</v>
      </c>
      <c r="C539" s="7">
        <v>0.5</v>
      </c>
      <c r="D539" s="28">
        <v>4.0006339912104218</v>
      </c>
      <c r="E539" s="28"/>
    </row>
    <row r="540" spans="1:5" x14ac:dyDescent="0.25">
      <c r="A540" s="11">
        <v>0.7</v>
      </c>
      <c r="B540" s="11">
        <v>0.1</v>
      </c>
      <c r="C540" s="7">
        <v>0.6</v>
      </c>
      <c r="D540" s="28">
        <v>3.8607447432634001</v>
      </c>
      <c r="E540" s="28"/>
    </row>
    <row r="541" spans="1:5" x14ac:dyDescent="0.25">
      <c r="A541" s="11">
        <v>0.7</v>
      </c>
      <c r="B541" s="11">
        <v>0.1</v>
      </c>
      <c r="C541" s="7">
        <v>0.7</v>
      </c>
      <c r="D541" s="28">
        <v>3.7268431688260999</v>
      </c>
      <c r="E541" s="28"/>
    </row>
    <row r="542" spans="1:5" x14ac:dyDescent="0.25">
      <c r="A542" s="11">
        <v>0.7</v>
      </c>
      <c r="B542" s="11">
        <v>0.1</v>
      </c>
      <c r="C542" s="7">
        <v>0.8</v>
      </c>
      <c r="D542" s="28">
        <v>3.5986558334358834</v>
      </c>
      <c r="E542" s="28"/>
    </row>
    <row r="543" spans="1:5" x14ac:dyDescent="0.25">
      <c r="A543" s="11">
        <v>0.7</v>
      </c>
      <c r="B543" s="11">
        <v>0.1</v>
      </c>
      <c r="C543" s="7">
        <v>0.9</v>
      </c>
      <c r="D543" s="28">
        <v>3.475907150208708</v>
      </c>
      <c r="E543" s="28"/>
    </row>
    <row r="544" spans="1:5" x14ac:dyDescent="0.25">
      <c r="A544" s="11">
        <v>0.7</v>
      </c>
      <c r="B544" s="11">
        <v>0.2</v>
      </c>
      <c r="C544" s="7">
        <v>0.1</v>
      </c>
      <c r="D544" s="28">
        <v>4.8625951078543945</v>
      </c>
      <c r="E544" s="28"/>
    </row>
    <row r="545" spans="1:5" x14ac:dyDescent="0.25">
      <c r="A545" s="11">
        <v>0.7</v>
      </c>
      <c r="B545" s="11">
        <v>0.2</v>
      </c>
      <c r="C545" s="7">
        <v>0.2</v>
      </c>
      <c r="D545" s="28">
        <v>4.6798375539337247</v>
      </c>
      <c r="E545" s="28"/>
    </row>
    <row r="546" spans="1:5" x14ac:dyDescent="0.25">
      <c r="A546" s="11">
        <v>0.7</v>
      </c>
      <c r="B546" s="11">
        <v>0.2</v>
      </c>
      <c r="C546" s="7">
        <v>0.3</v>
      </c>
      <c r="D546" s="28">
        <v>4.5051660809316685</v>
      </c>
      <c r="E546" s="28"/>
    </row>
    <row r="547" spans="1:5" x14ac:dyDescent="0.25">
      <c r="A547" s="11">
        <v>0.7</v>
      </c>
      <c r="B547" s="11">
        <v>0.2</v>
      </c>
      <c r="C547" s="7">
        <v>0.4</v>
      </c>
      <c r="D547" s="28">
        <v>4.3382636268450332</v>
      </c>
      <c r="E547" s="28"/>
    </row>
    <row r="548" spans="1:5" x14ac:dyDescent="0.25">
      <c r="A548" s="11">
        <v>0.7</v>
      </c>
      <c r="B548" s="11">
        <v>0.2</v>
      </c>
      <c r="C548" s="7">
        <v>0.5</v>
      </c>
      <c r="D548" s="28">
        <v>4.1788100883351618</v>
      </c>
      <c r="E548" s="28"/>
    </row>
    <row r="549" spans="1:5" x14ac:dyDescent="0.25">
      <c r="A549" s="11">
        <v>0.7</v>
      </c>
      <c r="B549" s="11">
        <v>0.2</v>
      </c>
      <c r="C549" s="7">
        <v>0.6</v>
      </c>
      <c r="D549" s="28">
        <v>4.0264821453681225</v>
      </c>
      <c r="E549" s="28"/>
    </row>
    <row r="550" spans="1:5" x14ac:dyDescent="0.25">
      <c r="A550" s="11">
        <v>0.7</v>
      </c>
      <c r="B550" s="11">
        <v>0.2</v>
      </c>
      <c r="C550" s="7">
        <v>0.7</v>
      </c>
      <c r="D550" s="28">
        <v>3.8809531061735769</v>
      </c>
      <c r="E550" s="28"/>
    </row>
    <row r="551" spans="1:5" x14ac:dyDescent="0.25">
      <c r="A551" s="11">
        <v>0.7</v>
      </c>
      <c r="B551" s="11">
        <v>0.2</v>
      </c>
      <c r="C551" s="7">
        <v>0.8</v>
      </c>
      <c r="D551" s="28">
        <v>3.7418927583796515</v>
      </c>
      <c r="E551" s="28"/>
    </row>
    <row r="552" spans="1:5" x14ac:dyDescent="0.25">
      <c r="A552" s="11">
        <v>0.7</v>
      </c>
      <c r="B552" s="11">
        <v>0.2</v>
      </c>
      <c r="C552" s="7">
        <v>0.9</v>
      </c>
      <c r="D552" s="28">
        <v>3.6089672141765292</v>
      </c>
      <c r="E552" s="28"/>
    </row>
    <row r="553" spans="1:5" x14ac:dyDescent="0.25">
      <c r="A553" s="11">
        <v>0.7</v>
      </c>
      <c r="B553" s="11">
        <v>0.3</v>
      </c>
      <c r="C553" s="7">
        <v>0.1</v>
      </c>
      <c r="D553" s="28">
        <v>5.087875591790791</v>
      </c>
      <c r="E553" s="28"/>
    </row>
    <row r="554" spans="1:5" x14ac:dyDescent="0.25">
      <c r="A554" s="11">
        <v>0.7</v>
      </c>
      <c r="B554" s="11">
        <v>0.3</v>
      </c>
      <c r="C554" s="7">
        <v>0.2</v>
      </c>
      <c r="D554" s="28">
        <v>4.8884923957294077</v>
      </c>
      <c r="E554" s="28"/>
    </row>
    <row r="555" spans="1:5" x14ac:dyDescent="0.25">
      <c r="A555" s="11">
        <v>0.7</v>
      </c>
      <c r="B555" s="11">
        <v>0.3</v>
      </c>
      <c r="C555" s="7">
        <v>0.3</v>
      </c>
      <c r="D555" s="28">
        <v>4.698325870332817</v>
      </c>
      <c r="E555" s="28"/>
    </row>
    <row r="556" spans="1:5" x14ac:dyDescent="0.25">
      <c r="A556" s="11">
        <v>0.7</v>
      </c>
      <c r="B556" s="11">
        <v>0.3</v>
      </c>
      <c r="C556" s="7">
        <v>0.4</v>
      </c>
      <c r="D556" s="28">
        <v>4.5170024180544228</v>
      </c>
      <c r="E556" s="28"/>
    </row>
    <row r="557" spans="1:5" x14ac:dyDescent="0.25">
      <c r="A557" s="11">
        <v>0.7</v>
      </c>
      <c r="B557" s="11">
        <v>0.3</v>
      </c>
      <c r="C557" s="7">
        <v>0.5</v>
      </c>
      <c r="D557" s="28">
        <v>4.3441433737824031</v>
      </c>
      <c r="E557" s="28"/>
    </row>
    <row r="558" spans="1:5" x14ac:dyDescent="0.25">
      <c r="A558" s="11">
        <v>0.7</v>
      </c>
      <c r="B558" s="11">
        <v>0.3</v>
      </c>
      <c r="C558" s="7">
        <v>0.6</v>
      </c>
      <c r="D558" s="28">
        <v>4.1793649302597258</v>
      </c>
      <c r="E558" s="28"/>
    </row>
    <row r="559" spans="1:5" x14ac:dyDescent="0.25">
      <c r="A559" s="11">
        <v>0.7</v>
      </c>
      <c r="B559" s="11">
        <v>0.3</v>
      </c>
      <c r="C559" s="7">
        <v>0.7</v>
      </c>
      <c r="D559" s="28">
        <v>4.0222780742415116</v>
      </c>
      <c r="E559" s="28"/>
    </row>
    <row r="560" spans="1:5" x14ac:dyDescent="0.25">
      <c r="A560" s="11">
        <v>0.7</v>
      </c>
      <c r="B560" s="11">
        <v>0.3</v>
      </c>
      <c r="C560" s="7">
        <v>0.8</v>
      </c>
      <c r="D560" s="28">
        <v>3.8724885145496328</v>
      </c>
      <c r="E560" s="28"/>
    </row>
    <row r="561" spans="1:5" x14ac:dyDescent="0.25">
      <c r="A561" s="11">
        <v>0.7</v>
      </c>
      <c r="B561" s="11">
        <v>0.3</v>
      </c>
      <c r="C561" s="7">
        <v>0.9</v>
      </c>
      <c r="D561" s="28">
        <v>3.729746761319451</v>
      </c>
      <c r="E561" s="28"/>
    </row>
    <row r="562" spans="1:5" x14ac:dyDescent="0.25">
      <c r="A562" s="11">
        <v>0.7</v>
      </c>
      <c r="B562" s="11">
        <v>0.4</v>
      </c>
      <c r="C562" s="7">
        <v>0.1</v>
      </c>
      <c r="D562" s="28">
        <v>5.3466315452593145</v>
      </c>
      <c r="E562" s="28"/>
    </row>
    <row r="563" spans="1:5" x14ac:dyDescent="0.25">
      <c r="A563" s="11">
        <v>0.7</v>
      </c>
      <c r="B563" s="11">
        <v>0.4</v>
      </c>
      <c r="C563" s="7">
        <v>0.2</v>
      </c>
      <c r="D563" s="28">
        <v>5.1297667689260589</v>
      </c>
      <c r="E563" s="28"/>
    </row>
    <row r="564" spans="1:5" x14ac:dyDescent="0.25">
      <c r="A564" s="11">
        <v>0.7</v>
      </c>
      <c r="B564" s="11">
        <v>0.4</v>
      </c>
      <c r="C564" s="7">
        <v>0.3</v>
      </c>
      <c r="D564" s="28">
        <v>4.9233805035288212</v>
      </c>
      <c r="E564" s="28"/>
    </row>
    <row r="565" spans="1:5" x14ac:dyDescent="0.25">
      <c r="A565" s="11">
        <v>0.7</v>
      </c>
      <c r="B565" s="11">
        <v>0.4</v>
      </c>
      <c r="C565" s="7">
        <v>0.4</v>
      </c>
      <c r="D565" s="28">
        <v>4.7270387282163018</v>
      </c>
      <c r="E565" s="28"/>
    </row>
    <row r="566" spans="1:5" x14ac:dyDescent="0.25">
      <c r="A566" s="11">
        <v>0.7</v>
      </c>
      <c r="B566" s="11">
        <v>0.4</v>
      </c>
      <c r="C566" s="7">
        <v>0.5</v>
      </c>
      <c r="D566" s="28">
        <v>4.5402999355620421</v>
      </c>
      <c r="E566" s="28"/>
    </row>
    <row r="567" spans="1:5" x14ac:dyDescent="0.25">
      <c r="A567" s="11">
        <v>0.7</v>
      </c>
      <c r="B567" s="11">
        <v>0.4</v>
      </c>
      <c r="C567" s="7">
        <v>0.6</v>
      </c>
      <c r="D567" s="28">
        <v>4.3627152001734482</v>
      </c>
      <c r="E567" s="28"/>
    </row>
    <row r="568" spans="1:5" x14ac:dyDescent="0.25">
      <c r="A568" s="11">
        <v>0.7</v>
      </c>
      <c r="B568" s="11">
        <v>0.4</v>
      </c>
      <c r="C568" s="7">
        <v>0.7</v>
      </c>
      <c r="D568" s="28">
        <v>4.1938282424999782</v>
      </c>
      <c r="E568" s="28"/>
    </row>
    <row r="569" spans="1:5" x14ac:dyDescent="0.25">
      <c r="A569" s="11">
        <v>0.7</v>
      </c>
      <c r="B569" s="11">
        <v>0.4</v>
      </c>
      <c r="C569" s="7">
        <v>0.8</v>
      </c>
      <c r="D569" s="28">
        <v>4.0331754630842589</v>
      </c>
      <c r="E569" s="28"/>
    </row>
    <row r="570" spans="1:5" x14ac:dyDescent="0.25">
      <c r="A570" s="11">
        <v>0.7</v>
      </c>
      <c r="B570" s="11">
        <v>0.4</v>
      </c>
      <c r="C570" s="7">
        <v>0.9</v>
      </c>
      <c r="D570" s="28">
        <v>3.8926081237075376</v>
      </c>
      <c r="E570" s="28"/>
    </row>
    <row r="571" spans="1:5" x14ac:dyDescent="0.25">
      <c r="A571" s="11">
        <v>0.7</v>
      </c>
      <c r="B571" s="11">
        <v>0.5</v>
      </c>
      <c r="C571" s="7">
        <v>0.1</v>
      </c>
      <c r="D571" s="28">
        <v>5.6161071672244214</v>
      </c>
      <c r="E571" s="28"/>
    </row>
    <row r="572" spans="1:5" x14ac:dyDescent="0.25">
      <c r="A572" s="11">
        <v>0.7</v>
      </c>
      <c r="B572" s="11">
        <v>0.5</v>
      </c>
      <c r="C572" s="7">
        <v>0.2</v>
      </c>
      <c r="D572" s="28">
        <v>5.3809034662089363</v>
      </c>
      <c r="E572" s="28"/>
    </row>
    <row r="573" spans="1:5" x14ac:dyDescent="0.25">
      <c r="A573" s="11">
        <v>0.7</v>
      </c>
      <c r="B573" s="11">
        <v>0.5</v>
      </c>
      <c r="C573" s="7">
        <v>0.3</v>
      </c>
      <c r="D573" s="28">
        <v>5.1575776373355664</v>
      </c>
      <c r="E573" s="28"/>
    </row>
    <row r="574" spans="1:5" x14ac:dyDescent="0.25">
      <c r="A574" s="11">
        <v>0.7</v>
      </c>
      <c r="B574" s="11">
        <v>0.5</v>
      </c>
      <c r="C574" s="7">
        <v>0.4</v>
      </c>
      <c r="D574" s="28">
        <v>4.9456345239511652</v>
      </c>
      <c r="E574" s="28"/>
    </row>
    <row r="575" spans="1:5" x14ac:dyDescent="0.25">
      <c r="A575" s="11">
        <v>0.7</v>
      </c>
      <c r="B575" s="11">
        <v>0.5</v>
      </c>
      <c r="C575" s="7">
        <v>0.5</v>
      </c>
      <c r="D575" s="28">
        <v>4.7445684665514776</v>
      </c>
      <c r="E575" s="28"/>
    </row>
    <row r="576" spans="1:5" x14ac:dyDescent="0.25">
      <c r="A576" s="11">
        <v>0.7</v>
      </c>
      <c r="B576" s="11">
        <v>0.5</v>
      </c>
      <c r="C576" s="7">
        <v>0.6</v>
      </c>
      <c r="D576" s="28">
        <v>4.5538635850192604</v>
      </c>
      <c r="E576" s="28"/>
    </row>
    <row r="577" spans="1:5" x14ac:dyDescent="0.25">
      <c r="A577" s="11">
        <v>0.7</v>
      </c>
      <c r="B577" s="11">
        <v>0.5</v>
      </c>
      <c r="C577" s="7">
        <v>0.7</v>
      </c>
      <c r="D577" s="28">
        <v>4.3729940325923673</v>
      </c>
      <c r="E577" s="28"/>
    </row>
    <row r="578" spans="1:5" x14ac:dyDescent="0.25">
      <c r="A578" s="11">
        <v>0.7</v>
      </c>
      <c r="B578" s="11">
        <v>0.5</v>
      </c>
      <c r="C578" s="7">
        <v>0.8</v>
      </c>
      <c r="D578" s="28">
        <v>4.2014241893810169</v>
      </c>
      <c r="E578" s="28"/>
    </row>
    <row r="579" spans="1:5" x14ac:dyDescent="0.25">
      <c r="A579" s="11">
        <v>0.7</v>
      </c>
      <c r="B579" s="11">
        <v>0.5</v>
      </c>
      <c r="C579" s="7">
        <v>0.9</v>
      </c>
      <c r="D579" s="28">
        <v>4.064356839957016</v>
      </c>
      <c r="E579" s="28"/>
    </row>
    <row r="580" spans="1:5" x14ac:dyDescent="0.25">
      <c r="A580" s="11">
        <v>0.7</v>
      </c>
      <c r="B580" s="11">
        <v>0.6</v>
      </c>
      <c r="C580" s="7">
        <v>0.1</v>
      </c>
      <c r="D580" s="28">
        <v>5.8911109462341233</v>
      </c>
      <c r="E580" s="28"/>
    </row>
    <row r="581" spans="1:5" x14ac:dyDescent="0.25">
      <c r="A581" s="11">
        <v>0.7</v>
      </c>
      <c r="B581" s="11">
        <v>0.6</v>
      </c>
      <c r="C581" s="7">
        <v>0.2</v>
      </c>
      <c r="D581" s="28">
        <v>5.637062167564757</v>
      </c>
      <c r="E581" s="28"/>
    </row>
    <row r="582" spans="1:5" x14ac:dyDescent="0.25">
      <c r="A582" s="11">
        <v>0.7</v>
      </c>
      <c r="B582" s="11">
        <v>0.6</v>
      </c>
      <c r="C582" s="7">
        <v>0.3</v>
      </c>
      <c r="D582" s="28">
        <v>5.3964103630649225</v>
      </c>
      <c r="E582" s="28"/>
    </row>
    <row r="583" spans="1:5" x14ac:dyDescent="0.25">
      <c r="A583" s="11">
        <v>0.7</v>
      </c>
      <c r="B583" s="11">
        <v>0.6</v>
      </c>
      <c r="C583" s="7">
        <v>0.4</v>
      </c>
      <c r="D583" s="28">
        <v>5.1686018179864242</v>
      </c>
      <c r="E583" s="28"/>
    </row>
    <row r="584" spans="1:5" x14ac:dyDescent="0.25">
      <c r="A584" s="11">
        <v>0.7</v>
      </c>
      <c r="B584" s="11">
        <v>0.6</v>
      </c>
      <c r="C584" s="7">
        <v>0.5</v>
      </c>
      <c r="D584" s="28">
        <v>4.953068460731652</v>
      </c>
      <c r="E584" s="28"/>
    </row>
    <row r="585" spans="1:5" x14ac:dyDescent="0.25">
      <c r="A585" s="11">
        <v>0.7</v>
      </c>
      <c r="B585" s="11">
        <v>0.6</v>
      </c>
      <c r="C585" s="7">
        <v>0.6</v>
      </c>
      <c r="D585" s="28">
        <v>4.7492284725105334</v>
      </c>
      <c r="E585" s="28"/>
    </row>
    <row r="586" spans="1:5" x14ac:dyDescent="0.25">
      <c r="A586" s="11">
        <v>0.7</v>
      </c>
      <c r="B586" s="11">
        <v>0.6</v>
      </c>
      <c r="C586" s="7">
        <v>0.7</v>
      </c>
      <c r="D586" s="28">
        <v>4.5564868339793554</v>
      </c>
      <c r="E586" s="28"/>
    </row>
    <row r="587" spans="1:5" x14ac:dyDescent="0.25">
      <c r="A587" s="11">
        <v>0.7</v>
      </c>
      <c r="B587" s="11">
        <v>0.6</v>
      </c>
      <c r="C587" s="7">
        <v>0.8</v>
      </c>
      <c r="D587" s="28">
        <v>4.3742357674472618</v>
      </c>
      <c r="E587" s="28"/>
    </row>
    <row r="588" spans="1:5" x14ac:dyDescent="0.25">
      <c r="A588" s="11">
        <v>0.7</v>
      </c>
      <c r="B588" s="11">
        <v>0.6</v>
      </c>
      <c r="C588" s="7">
        <v>0.9</v>
      </c>
      <c r="D588" s="28">
        <v>4.2408631028031003</v>
      </c>
      <c r="E588" s="28"/>
    </row>
    <row r="589" spans="1:5" x14ac:dyDescent="0.25">
      <c r="A589" s="11">
        <v>0.7</v>
      </c>
      <c r="B589" s="11">
        <v>0.7</v>
      </c>
      <c r="C589" s="7">
        <v>0.1</v>
      </c>
      <c r="D589" s="28">
        <v>6.1713281074871524</v>
      </c>
      <c r="E589" s="28"/>
    </row>
    <row r="590" spans="1:5" x14ac:dyDescent="0.25">
      <c r="A590" s="11">
        <v>0.7</v>
      </c>
      <c r="B590" s="11">
        <v>0.7</v>
      </c>
      <c r="C590" s="7">
        <v>0.2</v>
      </c>
      <c r="D590" s="28">
        <v>5.8984701605800005</v>
      </c>
      <c r="E590" s="28"/>
    </row>
    <row r="591" spans="1:5" x14ac:dyDescent="0.25">
      <c r="A591" s="11">
        <v>0.7</v>
      </c>
      <c r="B591" s="11">
        <v>0.7</v>
      </c>
      <c r="C591" s="7">
        <v>0.3</v>
      </c>
      <c r="D591" s="28">
        <v>5.6405996733100645</v>
      </c>
      <c r="E591" s="28"/>
    </row>
    <row r="592" spans="1:5" x14ac:dyDescent="0.25">
      <c r="A592" s="11">
        <v>0.7</v>
      </c>
      <c r="B592" s="11">
        <v>0.7</v>
      </c>
      <c r="C592" s="7">
        <v>0.4</v>
      </c>
      <c r="D592" s="28">
        <v>5.3971102008204888</v>
      </c>
      <c r="E592" s="28"/>
    </row>
    <row r="593" spans="1:5" x14ac:dyDescent="0.25">
      <c r="A593" s="11">
        <v>0.7</v>
      </c>
      <c r="B593" s="11">
        <v>0.7</v>
      </c>
      <c r="C593" s="7">
        <v>0.5</v>
      </c>
      <c r="D593" s="28">
        <v>5.1673759823043746</v>
      </c>
      <c r="E593" s="28"/>
    </row>
    <row r="594" spans="1:5" x14ac:dyDescent="0.25">
      <c r="A594" s="11">
        <v>0.7</v>
      </c>
      <c r="B594" s="11">
        <v>0.7</v>
      </c>
      <c r="C594" s="7">
        <v>0.6</v>
      </c>
      <c r="D594" s="28">
        <v>4.9507530510205529</v>
      </c>
      <c r="E594" s="28"/>
    </row>
    <row r="595" spans="1:5" x14ac:dyDescent="0.25">
      <c r="A595" s="11">
        <v>0.7</v>
      </c>
      <c r="B595" s="11">
        <v>0.7</v>
      </c>
      <c r="C595" s="7">
        <v>0.7</v>
      </c>
      <c r="D595" s="28">
        <v>4.7465802297736301</v>
      </c>
      <c r="E595" s="28"/>
    </row>
    <row r="596" spans="1:5" x14ac:dyDescent="0.25">
      <c r="A596" s="11">
        <v>0.7</v>
      </c>
      <c r="B596" s="11">
        <v>0.7</v>
      </c>
      <c r="C596" s="7">
        <v>0.8</v>
      </c>
      <c r="D596" s="28">
        <v>4.5541799591452437</v>
      </c>
      <c r="E596" s="28"/>
    </row>
    <row r="597" spans="1:5" x14ac:dyDescent="0.25">
      <c r="A597" s="11">
        <v>0.7</v>
      </c>
      <c r="B597" s="11">
        <v>0.7</v>
      </c>
      <c r="C597" s="7">
        <v>0.9</v>
      </c>
      <c r="D597" s="28">
        <v>4.4228338303545964</v>
      </c>
      <c r="E597" s="28"/>
    </row>
    <row r="598" spans="1:5" x14ac:dyDescent="0.25">
      <c r="A598" s="11">
        <v>0.7</v>
      </c>
      <c r="B598" s="11">
        <v>0.8</v>
      </c>
      <c r="C598" s="7">
        <v>0.1</v>
      </c>
      <c r="D598" s="28">
        <v>6.4552545115804767</v>
      </c>
      <c r="E598" s="28"/>
    </row>
    <row r="599" spans="1:5" x14ac:dyDescent="0.25">
      <c r="A599" s="11">
        <v>0.7</v>
      </c>
      <c r="B599" s="11">
        <v>0.8</v>
      </c>
      <c r="C599" s="7">
        <v>0.2</v>
      </c>
      <c r="D599" s="28">
        <v>6.1642444824142792</v>
      </c>
      <c r="E599" s="28"/>
    </row>
    <row r="600" spans="1:5" x14ac:dyDescent="0.25">
      <c r="A600" s="11">
        <v>0.7</v>
      </c>
      <c r="B600" s="11">
        <v>0.8</v>
      </c>
      <c r="C600" s="7">
        <v>0.3</v>
      </c>
      <c r="D600" s="28">
        <v>5.8898021221507868</v>
      </c>
      <c r="E600" s="28"/>
    </row>
    <row r="601" spans="1:5" x14ac:dyDescent="0.25">
      <c r="A601" s="11">
        <v>0.7</v>
      </c>
      <c r="B601" s="11">
        <v>0.8</v>
      </c>
      <c r="C601" s="7">
        <v>0.4</v>
      </c>
      <c r="D601" s="28">
        <v>5.6312772791324592</v>
      </c>
      <c r="E601" s="28"/>
    </row>
    <row r="602" spans="1:5" x14ac:dyDescent="0.25">
      <c r="A602" s="11">
        <v>0.7</v>
      </c>
      <c r="B602" s="11">
        <v>0.8</v>
      </c>
      <c r="C602" s="7">
        <v>0.5</v>
      </c>
      <c r="D602" s="28">
        <v>5.3879941150788202</v>
      </c>
      <c r="E602" s="28"/>
    </row>
    <row r="603" spans="1:5" x14ac:dyDescent="0.25">
      <c r="A603" s="11">
        <v>0.7</v>
      </c>
      <c r="B603" s="11">
        <v>0.8</v>
      </c>
      <c r="C603" s="7">
        <v>0.6</v>
      </c>
      <c r="D603" s="28">
        <v>5.1592529639607161</v>
      </c>
      <c r="E603" s="28"/>
    </row>
    <row r="604" spans="1:5" x14ac:dyDescent="0.25">
      <c r="A604" s="11">
        <v>0.7</v>
      </c>
      <c r="B604" s="11">
        <v>0.8</v>
      </c>
      <c r="C604" s="7">
        <v>0.7</v>
      </c>
      <c r="D604" s="28">
        <v>4.9443319994752626</v>
      </c>
      <c r="E604" s="28"/>
    </row>
    <row r="605" spans="1:5" x14ac:dyDescent="0.25">
      <c r="A605" s="11">
        <v>0.7</v>
      </c>
      <c r="B605" s="11">
        <v>0.8</v>
      </c>
      <c r="C605" s="7">
        <v>0.8</v>
      </c>
      <c r="D605" s="28">
        <v>4.7424886449194315</v>
      </c>
      <c r="E605" s="28"/>
    </row>
    <row r="606" spans="1:5" x14ac:dyDescent="0.25">
      <c r="A606" s="11">
        <v>0.7</v>
      </c>
      <c r="B606" s="11">
        <v>0.8</v>
      </c>
      <c r="C606" s="7">
        <v>0.9</v>
      </c>
      <c r="D606" s="28">
        <v>4.6084795658576008</v>
      </c>
      <c r="E606" s="28"/>
    </row>
    <row r="607" spans="1:5" x14ac:dyDescent="0.25">
      <c r="A607" s="11">
        <v>0.7</v>
      </c>
      <c r="B607" s="11">
        <v>0.9</v>
      </c>
      <c r="C607" s="7">
        <v>0.1</v>
      </c>
      <c r="D607" s="28">
        <v>6.739919938362414</v>
      </c>
      <c r="E607" s="28"/>
    </row>
    <row r="608" spans="1:5" x14ac:dyDescent="0.25">
      <c r="A608" s="11">
        <v>0.7</v>
      </c>
      <c r="B608" s="11">
        <v>0.9</v>
      </c>
      <c r="C608" s="7">
        <v>0.2</v>
      </c>
      <c r="D608" s="28">
        <v>6.4320919187234109</v>
      </c>
      <c r="E608" s="28"/>
    </row>
    <row r="609" spans="1:5" x14ac:dyDescent="0.25">
      <c r="A609" s="11">
        <v>0.7</v>
      </c>
      <c r="B609" s="11">
        <v>0.9</v>
      </c>
      <c r="C609" s="7">
        <v>0.3</v>
      </c>
      <c r="D609" s="28">
        <v>6.1422881760835786</v>
      </c>
      <c r="E609" s="28"/>
    </row>
    <row r="610" spans="1:5" x14ac:dyDescent="0.25">
      <c r="A610" s="11">
        <v>0.7</v>
      </c>
      <c r="B610" s="11">
        <v>0.9</v>
      </c>
      <c r="C610" s="7">
        <v>0.4</v>
      </c>
      <c r="D610" s="28">
        <v>5.8698270151743488</v>
      </c>
      <c r="E610" s="28"/>
    </row>
    <row r="611" spans="1:5" x14ac:dyDescent="0.25">
      <c r="A611" s="11">
        <v>0.7</v>
      </c>
      <c r="B611" s="11">
        <v>0.9</v>
      </c>
      <c r="C611" s="7">
        <v>0.5</v>
      </c>
      <c r="D611" s="28">
        <v>5.6139929065985337</v>
      </c>
      <c r="E611" s="28"/>
    </row>
    <row r="612" spans="1:5" x14ac:dyDescent="0.25">
      <c r="A612" s="11">
        <v>0.7</v>
      </c>
      <c r="B612" s="11">
        <v>0.9</v>
      </c>
      <c r="C612" s="7">
        <v>0.6</v>
      </c>
      <c r="D612" s="28">
        <v>5.3740394362656003</v>
      </c>
      <c r="E612" s="28"/>
    </row>
    <row r="613" spans="1:5" x14ac:dyDescent="0.25">
      <c r="A613" s="11">
        <v>0.7</v>
      </c>
      <c r="B613" s="11">
        <v>0.9</v>
      </c>
      <c r="C613" s="7">
        <v>0.7</v>
      </c>
      <c r="D613" s="28">
        <v>5.1491919484303601</v>
      </c>
      <c r="E613" s="28"/>
    </row>
    <row r="614" spans="1:5" x14ac:dyDescent="0.25">
      <c r="A614" s="11">
        <v>0.7</v>
      </c>
      <c r="B614" s="11">
        <v>0.9</v>
      </c>
      <c r="C614" s="7">
        <v>0.8</v>
      </c>
      <c r="D614" s="28">
        <v>4.9386498005763944</v>
      </c>
      <c r="E614" s="28"/>
    </row>
    <row r="615" spans="1:5" ht="15.75" thickBot="1" x14ac:dyDescent="0.3">
      <c r="A615" s="11">
        <v>0.7</v>
      </c>
      <c r="B615" s="27">
        <v>0.9</v>
      </c>
      <c r="C615" s="9">
        <v>0.9</v>
      </c>
      <c r="D615" s="28">
        <v>4.7934936203984364</v>
      </c>
      <c r="E615" s="28"/>
    </row>
    <row r="616" spans="1:5" x14ac:dyDescent="0.25">
      <c r="A616" s="11">
        <v>0.8</v>
      </c>
      <c r="B616" s="11">
        <v>0.1</v>
      </c>
      <c r="C616" s="7">
        <v>0.1</v>
      </c>
      <c r="D616" s="28">
        <v>4.9625744982615378</v>
      </c>
      <c r="E616" s="28"/>
    </row>
    <row r="617" spans="1:5" x14ac:dyDescent="0.25">
      <c r="A617" s="11">
        <v>0.8</v>
      </c>
      <c r="B617" s="11">
        <v>0.1</v>
      </c>
      <c r="C617" s="7">
        <v>0.2</v>
      </c>
      <c r="D617" s="28">
        <v>4.8372157399348259</v>
      </c>
      <c r="E617" s="28"/>
    </row>
    <row r="618" spans="1:5" x14ac:dyDescent="0.25">
      <c r="A618" s="11">
        <v>0.8</v>
      </c>
      <c r="B618" s="11">
        <v>0.1</v>
      </c>
      <c r="C618" s="7">
        <v>0.3</v>
      </c>
      <c r="D618" s="28">
        <v>4.7157535360178171</v>
      </c>
      <c r="E618" s="28"/>
    </row>
    <row r="619" spans="1:5" x14ac:dyDescent="0.25">
      <c r="A619" s="11">
        <v>0.8</v>
      </c>
      <c r="B619" s="11">
        <v>0.1</v>
      </c>
      <c r="C619" s="7">
        <v>0.4</v>
      </c>
      <c r="D619" s="28">
        <v>4.5980845931871439</v>
      </c>
      <c r="E619" s="28"/>
    </row>
    <row r="620" spans="1:5" x14ac:dyDescent="0.25">
      <c r="A620" s="11">
        <v>0.8</v>
      </c>
      <c r="B620" s="11">
        <v>0.1</v>
      </c>
      <c r="C620" s="7">
        <v>0.5</v>
      </c>
      <c r="D620" s="28">
        <v>4.4841050482036167</v>
      </c>
      <c r="E620" s="28"/>
    </row>
    <row r="621" spans="1:5" x14ac:dyDescent="0.25">
      <c r="A621" s="11">
        <v>0.8</v>
      </c>
      <c r="B621" s="11">
        <v>0.1</v>
      </c>
      <c r="C621" s="7">
        <v>0.6</v>
      </c>
      <c r="D621" s="28">
        <v>4.3737104465888201</v>
      </c>
      <c r="E621" s="28"/>
    </row>
    <row r="622" spans="1:5" x14ac:dyDescent="0.25">
      <c r="A622" s="11">
        <v>0.8</v>
      </c>
      <c r="B622" s="11">
        <v>0.1</v>
      </c>
      <c r="C622" s="7">
        <v>0.7</v>
      </c>
      <c r="D622" s="28">
        <v>4.2667957230289568</v>
      </c>
      <c r="E622" s="28"/>
    </row>
    <row r="623" spans="1:5" x14ac:dyDescent="0.25">
      <c r="A623" s="11">
        <v>0.8</v>
      </c>
      <c r="B623" s="11">
        <v>0.1</v>
      </c>
      <c r="C623" s="7">
        <v>0.8</v>
      </c>
      <c r="D623" s="28">
        <v>4.1632551824095394</v>
      </c>
      <c r="E623" s="28"/>
    </row>
    <row r="624" spans="1:5" x14ac:dyDescent="0.25">
      <c r="A624" s="11">
        <v>0.8</v>
      </c>
      <c r="B624" s="11">
        <v>0.1</v>
      </c>
      <c r="C624" s="7">
        <v>0.9</v>
      </c>
      <c r="D624" s="28">
        <v>4.0629824804926855</v>
      </c>
      <c r="E624" s="28"/>
    </row>
    <row r="625" spans="1:5" x14ac:dyDescent="0.25">
      <c r="A625" s="11">
        <v>0.8</v>
      </c>
      <c r="B625" s="11">
        <v>0.2</v>
      </c>
      <c r="C625" s="7">
        <v>0.1</v>
      </c>
      <c r="D625" s="28">
        <v>5.2305447597082075</v>
      </c>
      <c r="E625" s="28"/>
    </row>
    <row r="626" spans="1:5" x14ac:dyDescent="0.25">
      <c r="A626" s="11">
        <v>0.8</v>
      </c>
      <c r="B626" s="11">
        <v>0.2</v>
      </c>
      <c r="C626" s="7">
        <v>0.2</v>
      </c>
      <c r="D626" s="28">
        <v>5.0930954694595592</v>
      </c>
      <c r="E626" s="28"/>
    </row>
    <row r="627" spans="1:5" x14ac:dyDescent="0.25">
      <c r="A627" s="11">
        <v>0.8</v>
      </c>
      <c r="B627" s="11">
        <v>0.2</v>
      </c>
      <c r="C627" s="7">
        <v>0.3</v>
      </c>
      <c r="D627" s="28">
        <v>4.9600951174611998</v>
      </c>
      <c r="E627" s="28"/>
    </row>
    <row r="628" spans="1:5" x14ac:dyDescent="0.25">
      <c r="A628" s="11">
        <v>0.8</v>
      </c>
      <c r="B628" s="11">
        <v>0.2</v>
      </c>
      <c r="C628" s="7">
        <v>0.4</v>
      </c>
      <c r="D628" s="28">
        <v>4.8314238025496747</v>
      </c>
      <c r="E628" s="28"/>
    </row>
    <row r="629" spans="1:5" x14ac:dyDescent="0.25">
      <c r="A629" s="11">
        <v>0.8</v>
      </c>
      <c r="B629" s="11">
        <v>0.2</v>
      </c>
      <c r="C629" s="7">
        <v>0.5</v>
      </c>
      <c r="D629" s="28">
        <v>4.706960477635417</v>
      </c>
      <c r="E629" s="28"/>
    </row>
    <row r="630" spans="1:5" x14ac:dyDescent="0.25">
      <c r="A630" s="11">
        <v>0.8</v>
      </c>
      <c r="B630" s="11">
        <v>0.2</v>
      </c>
      <c r="C630" s="7">
        <v>0.6</v>
      </c>
      <c r="D630" s="28">
        <v>4.5865829543079606</v>
      </c>
      <c r="E630" s="28"/>
    </row>
    <row r="631" spans="1:5" x14ac:dyDescent="0.25">
      <c r="A631" s="11">
        <v>0.8</v>
      </c>
      <c r="B631" s="11">
        <v>0.2</v>
      </c>
      <c r="C631" s="7">
        <v>0.7</v>
      </c>
      <c r="D631" s="28">
        <v>4.470167907827296</v>
      </c>
      <c r="E631" s="28"/>
    </row>
    <row r="632" spans="1:5" x14ac:dyDescent="0.25">
      <c r="A632" s="11">
        <v>0.8</v>
      </c>
      <c r="B632" s="11">
        <v>0.2</v>
      </c>
      <c r="C632" s="7">
        <v>0.8</v>
      </c>
      <c r="D632" s="28">
        <v>4.3575908809840467</v>
      </c>
      <c r="E632" s="28"/>
    </row>
    <row r="633" spans="1:5" x14ac:dyDescent="0.25">
      <c r="A633" s="11">
        <v>0.8</v>
      </c>
      <c r="B633" s="11">
        <v>0.2</v>
      </c>
      <c r="C633" s="7">
        <v>0.9</v>
      </c>
      <c r="D633" s="28">
        <v>4.2487262854625101</v>
      </c>
      <c r="E633" s="28"/>
    </row>
    <row r="634" spans="1:5" x14ac:dyDescent="0.25">
      <c r="A634" s="11">
        <v>0.8</v>
      </c>
      <c r="B634" s="11">
        <v>0.3</v>
      </c>
      <c r="C634" s="7">
        <v>0.1</v>
      </c>
      <c r="D634" s="28">
        <v>5.4901430205174071</v>
      </c>
      <c r="E634" s="28"/>
    </row>
    <row r="635" spans="1:5" x14ac:dyDescent="0.25">
      <c r="A635" s="11">
        <v>0.8</v>
      </c>
      <c r="B635" s="11">
        <v>0.3</v>
      </c>
      <c r="C635" s="7">
        <v>0.2</v>
      </c>
      <c r="D635" s="28">
        <v>5.3406303641150421</v>
      </c>
      <c r="E635" s="28"/>
    </row>
    <row r="636" spans="1:5" x14ac:dyDescent="0.25">
      <c r="A636" s="11">
        <v>0.8</v>
      </c>
      <c r="B636" s="11">
        <v>0.3</v>
      </c>
      <c r="C636" s="7">
        <v>0.3</v>
      </c>
      <c r="D636" s="28">
        <v>5.1961529940100029</v>
      </c>
      <c r="E636" s="28"/>
    </row>
    <row r="637" spans="1:5" x14ac:dyDescent="0.25">
      <c r="A637" s="11">
        <v>0.8</v>
      </c>
      <c r="B637" s="11">
        <v>0.3</v>
      </c>
      <c r="C637" s="7">
        <v>0.4</v>
      </c>
      <c r="D637" s="28">
        <v>5.0565740387664189</v>
      </c>
      <c r="E637" s="28"/>
    </row>
    <row r="638" spans="1:5" x14ac:dyDescent="0.25">
      <c r="A638" s="11">
        <v>0.8</v>
      </c>
      <c r="B638" s="11">
        <v>0.3</v>
      </c>
      <c r="C638" s="7">
        <v>0.5</v>
      </c>
      <c r="D638" s="28">
        <v>4.9217547543155353</v>
      </c>
      <c r="E638" s="28"/>
    </row>
    <row r="639" spans="1:5" x14ac:dyDescent="0.25">
      <c r="A639" s="11">
        <v>0.8</v>
      </c>
      <c r="B639" s="11">
        <v>0.3</v>
      </c>
      <c r="C639" s="7">
        <v>0.6</v>
      </c>
      <c r="D639" s="28">
        <v>4.7915545689033179</v>
      </c>
      <c r="E639" s="28"/>
    </row>
    <row r="640" spans="1:5" x14ac:dyDescent="0.25">
      <c r="A640" s="11">
        <v>0.8</v>
      </c>
      <c r="B640" s="11">
        <v>0.3</v>
      </c>
      <c r="C640" s="7">
        <v>0.7</v>
      </c>
      <c r="D640" s="28">
        <v>4.6658311260048606</v>
      </c>
      <c r="E640" s="28"/>
    </row>
    <row r="641" spans="1:5" x14ac:dyDescent="0.25">
      <c r="A641" s="11">
        <v>0.8</v>
      </c>
      <c r="B641" s="11">
        <v>0.3</v>
      </c>
      <c r="C641" s="7">
        <v>0.8</v>
      </c>
      <c r="D641" s="28">
        <v>4.5444403231504662</v>
      </c>
      <c r="E641" s="28"/>
    </row>
    <row r="642" spans="1:5" x14ac:dyDescent="0.25">
      <c r="A642" s="11">
        <v>0.8</v>
      </c>
      <c r="B642" s="11">
        <v>0.3</v>
      </c>
      <c r="C642" s="7">
        <v>0.9</v>
      </c>
      <c r="D642" s="28">
        <v>4.4272363448157277</v>
      </c>
      <c r="E642" s="28"/>
    </row>
    <row r="643" spans="1:5" x14ac:dyDescent="0.25">
      <c r="A643" s="11">
        <v>0.8</v>
      </c>
      <c r="B643" s="11">
        <v>0.4</v>
      </c>
      <c r="C643" s="7">
        <v>0.1</v>
      </c>
      <c r="D643" s="28">
        <v>5.7578583790675628</v>
      </c>
      <c r="E643" s="28"/>
    </row>
    <row r="644" spans="1:5" x14ac:dyDescent="0.25">
      <c r="A644" s="11">
        <v>0.8</v>
      </c>
      <c r="B644" s="11">
        <v>0.4</v>
      </c>
      <c r="C644" s="7">
        <v>0.2</v>
      </c>
      <c r="D644" s="28">
        <v>5.5962956716578081</v>
      </c>
      <c r="E644" s="28"/>
    </row>
    <row r="645" spans="1:5" x14ac:dyDescent="0.25">
      <c r="A645" s="11">
        <v>0.8</v>
      </c>
      <c r="B645" s="11">
        <v>0.4</v>
      </c>
      <c r="C645" s="7">
        <v>0.3</v>
      </c>
      <c r="D645" s="28">
        <v>5.4403804349957312</v>
      </c>
      <c r="E645" s="28"/>
    </row>
    <row r="646" spans="1:5" x14ac:dyDescent="0.25">
      <c r="A646" s="11">
        <v>0.8</v>
      </c>
      <c r="B646" s="11">
        <v>0.4</v>
      </c>
      <c r="C646" s="7">
        <v>0.4</v>
      </c>
      <c r="D646" s="28">
        <v>5.2899596879744406</v>
      </c>
      <c r="E646" s="28"/>
    </row>
    <row r="647" spans="1:5" x14ac:dyDescent="0.25">
      <c r="A647" s="11">
        <v>0.8</v>
      </c>
      <c r="B647" s="11">
        <v>0.4</v>
      </c>
      <c r="C647" s="7">
        <v>0.5</v>
      </c>
      <c r="D647" s="28">
        <v>5.1448776331983437</v>
      </c>
      <c r="E647" s="28"/>
    </row>
    <row r="648" spans="1:5" x14ac:dyDescent="0.25">
      <c r="A648" s="11">
        <v>0.8</v>
      </c>
      <c r="B648" s="11">
        <v>0.4</v>
      </c>
      <c r="C648" s="7">
        <v>0.6</v>
      </c>
      <c r="D648" s="28">
        <v>5.0049757641010055</v>
      </c>
      <c r="E648" s="28"/>
    </row>
    <row r="649" spans="1:5" x14ac:dyDescent="0.25">
      <c r="A649" s="11">
        <v>0.8</v>
      </c>
      <c r="B649" s="11">
        <v>0.4</v>
      </c>
      <c r="C649" s="7">
        <v>0.7</v>
      </c>
      <c r="D649" s="28">
        <v>4.870092966060577</v>
      </c>
      <c r="E649" s="28"/>
    </row>
    <row r="650" spans="1:5" x14ac:dyDescent="0.25">
      <c r="A650" s="11">
        <v>0.8</v>
      </c>
      <c r="B650" s="11">
        <v>0.4</v>
      </c>
      <c r="C650" s="7">
        <v>0.8</v>
      </c>
      <c r="D650" s="28">
        <v>4.7400656087748763</v>
      </c>
      <c r="E650" s="28"/>
    </row>
    <row r="651" spans="1:5" x14ac:dyDescent="0.25">
      <c r="A651" s="11">
        <v>0.8</v>
      </c>
      <c r="B651" s="11">
        <v>0.4</v>
      </c>
      <c r="C651" s="7">
        <v>0.9</v>
      </c>
      <c r="D651" s="28">
        <v>4.614727627437996</v>
      </c>
      <c r="E651" s="28"/>
    </row>
    <row r="652" spans="1:5" x14ac:dyDescent="0.25">
      <c r="A652" s="11">
        <v>0.8</v>
      </c>
      <c r="B652" s="11">
        <v>0.5</v>
      </c>
      <c r="C652" s="7">
        <v>0.1</v>
      </c>
      <c r="D652" s="28">
        <v>6.0440766912617967</v>
      </c>
      <c r="E652" s="28"/>
    </row>
    <row r="653" spans="1:5" x14ac:dyDescent="0.25">
      <c r="A653" s="11">
        <v>0.8</v>
      </c>
      <c r="B653" s="11">
        <v>0.5</v>
      </c>
      <c r="C653" s="7">
        <v>0.2</v>
      </c>
      <c r="D653" s="28">
        <v>5.8708274455249052</v>
      </c>
      <c r="E653" s="28"/>
    </row>
    <row r="654" spans="1:5" x14ac:dyDescent="0.25">
      <c r="A654" s="11">
        <v>0.8</v>
      </c>
      <c r="B654" s="11">
        <v>0.5</v>
      </c>
      <c r="C654" s="7">
        <v>0.3</v>
      </c>
      <c r="D654" s="28">
        <v>5.7038372786719327</v>
      </c>
      <c r="E654" s="28"/>
    </row>
    <row r="655" spans="1:5" x14ac:dyDescent="0.25">
      <c r="A655" s="11">
        <v>0.8</v>
      </c>
      <c r="B655" s="11">
        <v>0.5</v>
      </c>
      <c r="C655" s="7">
        <v>0.4</v>
      </c>
      <c r="D655" s="28">
        <v>5.5429394052576431</v>
      </c>
      <c r="E655" s="28"/>
    </row>
    <row r="656" spans="1:5" x14ac:dyDescent="0.25">
      <c r="A656" s="11">
        <v>0.8</v>
      </c>
      <c r="B656" s="11">
        <v>0.5</v>
      </c>
      <c r="C656" s="7">
        <v>0.5</v>
      </c>
      <c r="D656" s="28">
        <v>5.3879629743738802</v>
      </c>
      <c r="E656" s="28"/>
    </row>
    <row r="657" spans="1:5" x14ac:dyDescent="0.25">
      <c r="A657" s="11">
        <v>0.8</v>
      </c>
      <c r="B657" s="11">
        <v>0.5</v>
      </c>
      <c r="C657" s="7">
        <v>0.6</v>
      </c>
      <c r="D657" s="28">
        <v>5.2387332718571828</v>
      </c>
      <c r="E657" s="28"/>
    </row>
    <row r="658" spans="1:5" x14ac:dyDescent="0.25">
      <c r="A658" s="11">
        <v>0.8</v>
      </c>
      <c r="B658" s="11">
        <v>0.5</v>
      </c>
      <c r="C658" s="7">
        <v>0.7</v>
      </c>
      <c r="D658" s="28">
        <v>5.095071910210299</v>
      </c>
      <c r="E658" s="28"/>
    </row>
    <row r="659" spans="1:5" x14ac:dyDescent="0.25">
      <c r="A659" s="11">
        <v>0.8</v>
      </c>
      <c r="B659" s="11">
        <v>0.5</v>
      </c>
      <c r="C659" s="7">
        <v>0.8</v>
      </c>
      <c r="D659" s="28">
        <v>4.9567970026459749</v>
      </c>
      <c r="E659" s="28"/>
    </row>
    <row r="660" spans="1:5" x14ac:dyDescent="0.25">
      <c r="A660" s="11">
        <v>0.8</v>
      </c>
      <c r="B660" s="11">
        <v>0.5</v>
      </c>
      <c r="C660" s="7">
        <v>0.9</v>
      </c>
      <c r="D660" s="28">
        <v>4.8237233180298746</v>
      </c>
      <c r="E660" s="28"/>
    </row>
    <row r="661" spans="1:5" x14ac:dyDescent="0.25">
      <c r="A661" s="11">
        <v>0.8</v>
      </c>
      <c r="B661" s="11">
        <v>0.6</v>
      </c>
      <c r="C661" s="7">
        <v>0.1</v>
      </c>
      <c r="D661" s="28">
        <v>6.3255069546000415</v>
      </c>
      <c r="E661" s="28"/>
    </row>
    <row r="662" spans="1:5" x14ac:dyDescent="0.25">
      <c r="A662" s="11">
        <v>0.8</v>
      </c>
      <c r="B662" s="11">
        <v>0.6</v>
      </c>
      <c r="C662" s="7">
        <v>0.2</v>
      </c>
      <c r="D662" s="28">
        <v>6.141530569129114</v>
      </c>
      <c r="E662" s="28"/>
    </row>
    <row r="663" spans="1:5" x14ac:dyDescent="0.25">
      <c r="A663" s="11">
        <v>0.8</v>
      </c>
      <c r="B663" s="11">
        <v>0.6</v>
      </c>
      <c r="C663" s="7">
        <v>0.3</v>
      </c>
      <c r="D663" s="28">
        <v>5.9643787320418218</v>
      </c>
      <c r="E663" s="28"/>
    </row>
    <row r="664" spans="1:5" x14ac:dyDescent="0.25">
      <c r="A664" s="11">
        <v>0.8</v>
      </c>
      <c r="B664" s="11">
        <v>0.6</v>
      </c>
      <c r="C664" s="7">
        <v>0.4</v>
      </c>
      <c r="D664" s="28">
        <v>5.7938746468924212</v>
      </c>
      <c r="E664" s="28"/>
    </row>
    <row r="665" spans="1:5" x14ac:dyDescent="0.25">
      <c r="A665" s="11">
        <v>0.8</v>
      </c>
      <c r="B665" s="11">
        <v>0.6</v>
      </c>
      <c r="C665" s="7">
        <v>0.5</v>
      </c>
      <c r="D665" s="28">
        <v>5.6298357910440195</v>
      </c>
      <c r="E665" s="28"/>
    </row>
    <row r="666" spans="1:5" x14ac:dyDescent="0.25">
      <c r="A666" s="11">
        <v>0.8</v>
      </c>
      <c r="B666" s="11">
        <v>0.6</v>
      </c>
      <c r="C666" s="7">
        <v>0.6</v>
      </c>
      <c r="D666" s="28">
        <v>5.4720742607907127</v>
      </c>
      <c r="E666" s="28"/>
    </row>
    <row r="667" spans="1:5" x14ac:dyDescent="0.25">
      <c r="A667" s="11">
        <v>0.8</v>
      </c>
      <c r="B667" s="11">
        <v>0.6</v>
      </c>
      <c r="C667" s="7">
        <v>0.7</v>
      </c>
      <c r="D667" s="28">
        <v>5.3203970943947416</v>
      </c>
      <c r="E667" s="28"/>
    </row>
    <row r="668" spans="1:5" x14ac:dyDescent="0.25">
      <c r="A668" s="11">
        <v>0.8</v>
      </c>
      <c r="B668" s="11">
        <v>0.6</v>
      </c>
      <c r="C668" s="7">
        <v>0.8</v>
      </c>
      <c r="D668" s="28">
        <v>5.1746065684050837</v>
      </c>
      <c r="E668" s="28"/>
    </row>
    <row r="669" spans="1:5" x14ac:dyDescent="0.25">
      <c r="A669" s="11">
        <v>0.8</v>
      </c>
      <c r="B669" s="11">
        <v>0.6</v>
      </c>
      <c r="C669" s="7">
        <v>0.9</v>
      </c>
      <c r="D669" s="28">
        <v>5.0345004630989614</v>
      </c>
      <c r="E669" s="28"/>
    </row>
    <row r="670" spans="1:5" x14ac:dyDescent="0.25">
      <c r="A670" s="11">
        <v>0.8</v>
      </c>
      <c r="B670" s="11">
        <v>0.7</v>
      </c>
      <c r="C670" s="7">
        <v>0.1</v>
      </c>
      <c r="D670" s="28">
        <v>6.5968713112667725</v>
      </c>
      <c r="E670" s="28"/>
    </row>
    <row r="671" spans="1:5" x14ac:dyDescent="0.25">
      <c r="A671" s="11">
        <v>0.8</v>
      </c>
      <c r="B671" s="11">
        <v>0.7</v>
      </c>
      <c r="C671" s="7">
        <v>0.2</v>
      </c>
      <c r="D671" s="28">
        <v>6.4038761959411197</v>
      </c>
      <c r="E671" s="28"/>
    </row>
    <row r="672" spans="1:5" x14ac:dyDescent="0.25">
      <c r="A672" s="11">
        <v>0.8</v>
      </c>
      <c r="B672" s="11">
        <v>0.7</v>
      </c>
      <c r="C672" s="7">
        <v>0.3</v>
      </c>
      <c r="D672" s="28">
        <v>6.2181615741019716</v>
      </c>
      <c r="E672" s="28"/>
    </row>
    <row r="673" spans="1:5" x14ac:dyDescent="0.25">
      <c r="A673" s="11">
        <v>0.8</v>
      </c>
      <c r="B673" s="11">
        <v>0.7</v>
      </c>
      <c r="C673" s="7">
        <v>0.4</v>
      </c>
      <c r="D673" s="28">
        <v>6.0395459044938491</v>
      </c>
      <c r="E673" s="28"/>
    </row>
    <row r="674" spans="1:5" x14ac:dyDescent="0.25">
      <c r="A674" s="11">
        <v>0.8</v>
      </c>
      <c r="B674" s="11">
        <v>0.7</v>
      </c>
      <c r="C674" s="7">
        <v>0.5</v>
      </c>
      <c r="D674" s="28">
        <v>5.8678397243783467</v>
      </c>
      <c r="E674" s="28"/>
    </row>
    <row r="675" spans="1:5" x14ac:dyDescent="0.25">
      <c r="A675" s="11">
        <v>0.8</v>
      </c>
      <c r="B675" s="11">
        <v>0.7</v>
      </c>
      <c r="C675" s="7">
        <v>0.6</v>
      </c>
      <c r="D675" s="28">
        <v>5.7028462041479786</v>
      </c>
      <c r="E675" s="28"/>
    </row>
    <row r="676" spans="1:5" x14ac:dyDescent="0.25">
      <c r="A676" s="11">
        <v>0.8</v>
      </c>
      <c r="B676" s="11">
        <v>0.7</v>
      </c>
      <c r="C676" s="7">
        <v>0.7</v>
      </c>
      <c r="D676" s="28">
        <v>5.5443616647197889</v>
      </c>
      <c r="E676" s="28"/>
    </row>
    <row r="677" spans="1:5" x14ac:dyDescent="0.25">
      <c r="A677" s="11">
        <v>0.8</v>
      </c>
      <c r="B677" s="11">
        <v>0.7</v>
      </c>
      <c r="C677" s="7">
        <v>0.8</v>
      </c>
      <c r="D677" s="28">
        <v>5.3921760518558841</v>
      </c>
      <c r="E677" s="28"/>
    </row>
    <row r="678" spans="1:5" x14ac:dyDescent="0.25">
      <c r="A678" s="11">
        <v>0.8</v>
      </c>
      <c r="B678" s="11">
        <v>0.7</v>
      </c>
      <c r="C678" s="7">
        <v>0.9</v>
      </c>
      <c r="D678" s="28">
        <v>5.2460733621488789</v>
      </c>
      <c r="E678" s="28"/>
    </row>
    <row r="679" spans="1:5" x14ac:dyDescent="0.25">
      <c r="A679" s="11">
        <v>0.8</v>
      </c>
      <c r="B679" s="11">
        <v>0.8</v>
      </c>
      <c r="C679" s="7">
        <v>0.1</v>
      </c>
      <c r="D679" s="28">
        <v>6.8501966624222925</v>
      </c>
      <c r="E679" s="28"/>
    </row>
    <row r="680" spans="1:5" x14ac:dyDescent="0.25">
      <c r="A680" s="11">
        <v>0.8</v>
      </c>
      <c r="B680" s="11">
        <v>0.8</v>
      </c>
      <c r="C680" s="7">
        <v>0.2</v>
      </c>
      <c r="D680" s="28">
        <v>6.6507609752299599</v>
      </c>
      <c r="E680" s="28"/>
    </row>
    <row r="681" spans="1:5" x14ac:dyDescent="0.25">
      <c r="A681" s="11">
        <v>0.8</v>
      </c>
      <c r="B681" s="11">
        <v>0.8</v>
      </c>
      <c r="C681" s="7">
        <v>0.3</v>
      </c>
      <c r="D681" s="28">
        <v>6.4588753958761522</v>
      </c>
      <c r="E681" s="28"/>
    </row>
    <row r="682" spans="1:5" x14ac:dyDescent="0.25">
      <c r="A682" s="11">
        <v>0.8</v>
      </c>
      <c r="B682" s="11">
        <v>0.8</v>
      </c>
      <c r="C682" s="7">
        <v>0.4</v>
      </c>
      <c r="D682" s="28">
        <v>6.2743603477921202</v>
      </c>
      <c r="E682" s="28"/>
    </row>
    <row r="683" spans="1:5" x14ac:dyDescent="0.25">
      <c r="A683" s="11">
        <v>0.8</v>
      </c>
      <c r="B683" s="11">
        <v>0.8</v>
      </c>
      <c r="C683" s="7">
        <v>0.5</v>
      </c>
      <c r="D683" s="28">
        <v>6.0970254639841563</v>
      </c>
      <c r="E683" s="28"/>
    </row>
    <row r="684" spans="1:5" x14ac:dyDescent="0.25">
      <c r="A684" s="11">
        <v>0.8</v>
      </c>
      <c r="B684" s="11">
        <v>0.8</v>
      </c>
      <c r="C684" s="7">
        <v>0.6</v>
      </c>
      <c r="D684" s="28">
        <v>5.9266704401077002</v>
      </c>
      <c r="E684" s="28"/>
    </row>
    <row r="685" spans="1:5" x14ac:dyDescent="0.25">
      <c r="A685" s="11">
        <v>0.8</v>
      </c>
      <c r="B685" s="11">
        <v>0.8</v>
      </c>
      <c r="C685" s="7">
        <v>0.7</v>
      </c>
      <c r="D685" s="28">
        <v>5.7630858271793279</v>
      </c>
      <c r="E685" s="28"/>
    </row>
    <row r="686" spans="1:5" x14ac:dyDescent="0.25">
      <c r="A686" s="11">
        <v>0.8</v>
      </c>
      <c r="B686" s="11">
        <v>0.8</v>
      </c>
      <c r="C686" s="7">
        <v>0.8</v>
      </c>
      <c r="D686" s="28">
        <v>5.6060537567357001</v>
      </c>
      <c r="E686" s="28"/>
    </row>
    <row r="687" spans="1:5" x14ac:dyDescent="0.25">
      <c r="A687" s="11">
        <v>0.8</v>
      </c>
      <c r="B687" s="11">
        <v>0.8</v>
      </c>
      <c r="C687" s="7">
        <v>0.9</v>
      </c>
      <c r="D687" s="28">
        <v>5.4553485919488649</v>
      </c>
      <c r="E687" s="28"/>
    </row>
    <row r="688" spans="1:5" x14ac:dyDescent="0.25">
      <c r="A688" s="11">
        <v>0.8</v>
      </c>
      <c r="B688" s="11">
        <v>0.9</v>
      </c>
      <c r="C688" s="7">
        <v>0.1</v>
      </c>
      <c r="D688" s="28">
        <v>7.0894465989237787</v>
      </c>
      <c r="E688" s="28"/>
    </row>
    <row r="689" spans="1:5" x14ac:dyDescent="0.25">
      <c r="A689" s="11">
        <v>0.8</v>
      </c>
      <c r="B689" s="11">
        <v>0.9</v>
      </c>
      <c r="C689" s="7">
        <v>0.2</v>
      </c>
      <c r="D689" s="28">
        <v>6.8871399365208621</v>
      </c>
      <c r="E689" s="28"/>
    </row>
    <row r="690" spans="1:5" x14ac:dyDescent="0.25">
      <c r="A690" s="11">
        <v>0.8</v>
      </c>
      <c r="B690" s="11">
        <v>0.9</v>
      </c>
      <c r="C690" s="7">
        <v>0.3</v>
      </c>
      <c r="D690" s="28">
        <v>6.6923837397647201</v>
      </c>
      <c r="E690" s="28"/>
    </row>
    <row r="691" spans="1:5" x14ac:dyDescent="0.25">
      <c r="A691" s="11">
        <v>0.8</v>
      </c>
      <c r="B691" s="11">
        <v>0.9</v>
      </c>
      <c r="C691" s="7">
        <v>0.4</v>
      </c>
      <c r="D691" s="28">
        <v>6.505008517581544</v>
      </c>
      <c r="E691" s="28"/>
    </row>
    <row r="692" spans="1:5" x14ac:dyDescent="0.25">
      <c r="A692" s="11">
        <v>0.8</v>
      </c>
      <c r="B692" s="11">
        <v>0.9</v>
      </c>
      <c r="C692" s="7">
        <v>0.5</v>
      </c>
      <c r="D692" s="28">
        <v>6.3248302966541461</v>
      </c>
      <c r="E692" s="28"/>
    </row>
    <row r="693" spans="1:5" x14ac:dyDescent="0.25">
      <c r="A693" s="11">
        <v>0.8</v>
      </c>
      <c r="B693" s="11">
        <v>0.9</v>
      </c>
      <c r="C693" s="7">
        <v>0.6</v>
      </c>
      <c r="D693" s="28">
        <v>6.1516518870924353</v>
      </c>
      <c r="E693" s="28"/>
    </row>
    <row r="694" spans="1:5" x14ac:dyDescent="0.25">
      <c r="A694" s="11">
        <v>0.8</v>
      </c>
      <c r="B694" s="11">
        <v>0.9</v>
      </c>
      <c r="C694" s="7">
        <v>0.7</v>
      </c>
      <c r="D694" s="28">
        <v>5.9852640527820853</v>
      </c>
      <c r="E694" s="28"/>
    </row>
    <row r="695" spans="1:5" x14ac:dyDescent="0.25">
      <c r="A695" s="11">
        <v>0.8</v>
      </c>
      <c r="B695" s="11">
        <v>0.9</v>
      </c>
      <c r="C695" s="7">
        <v>0.8</v>
      </c>
      <c r="D695" s="28">
        <v>5.8254465779076092</v>
      </c>
      <c r="E695" s="28"/>
    </row>
    <row r="696" spans="1:5" ht="15.75" thickBot="1" x14ac:dyDescent="0.3">
      <c r="A696" s="11">
        <v>0.8</v>
      </c>
      <c r="B696" s="27">
        <v>0.9</v>
      </c>
      <c r="C696" s="9">
        <v>0.9</v>
      </c>
      <c r="D696" s="28">
        <v>5.6719692219091744</v>
      </c>
      <c r="E696" s="28"/>
    </row>
    <row r="697" spans="1:5" x14ac:dyDescent="0.25">
      <c r="A697" s="11">
        <v>0.9</v>
      </c>
      <c r="B697" s="11">
        <v>0.1</v>
      </c>
      <c r="C697" s="7">
        <v>0.1</v>
      </c>
      <c r="D697" s="28">
        <v>5.2566341287746416</v>
      </c>
      <c r="E697" s="28"/>
    </row>
    <row r="698" spans="1:5" x14ac:dyDescent="0.25">
      <c r="A698" s="11">
        <v>0.9</v>
      </c>
      <c r="B698" s="11">
        <v>0.1</v>
      </c>
      <c r="C698" s="7">
        <v>0.2</v>
      </c>
      <c r="D698" s="28">
        <v>5.1886143842021522</v>
      </c>
      <c r="E698" s="28"/>
    </row>
    <row r="699" spans="1:5" x14ac:dyDescent="0.25">
      <c r="A699" s="11">
        <v>0.9</v>
      </c>
      <c r="B699" s="11">
        <v>0.1</v>
      </c>
      <c r="C699" s="7">
        <v>0.3</v>
      </c>
      <c r="D699" s="28">
        <v>5.1217202458190529</v>
      </c>
      <c r="E699" s="28"/>
    </row>
    <row r="700" spans="1:5" x14ac:dyDescent="0.25">
      <c r="A700" s="11">
        <v>0.9</v>
      </c>
      <c r="B700" s="11">
        <v>0.1</v>
      </c>
      <c r="C700" s="7">
        <v>0.4</v>
      </c>
      <c r="D700" s="28">
        <v>5.0559365453013969</v>
      </c>
      <c r="E700" s="28"/>
    </row>
    <row r="701" spans="1:5" x14ac:dyDescent="0.25">
      <c r="A701" s="11">
        <v>0.9</v>
      </c>
      <c r="B701" s="11">
        <v>0.1</v>
      </c>
      <c r="C701" s="7">
        <v>0.5</v>
      </c>
      <c r="D701" s="28">
        <v>4.9912480364313927</v>
      </c>
      <c r="E701" s="28"/>
    </row>
    <row r="702" spans="1:5" x14ac:dyDescent="0.25">
      <c r="A702" s="11">
        <v>0.9</v>
      </c>
      <c r="B702" s="11">
        <v>0.1</v>
      </c>
      <c r="C702" s="7">
        <v>0.6</v>
      </c>
      <c r="D702" s="28">
        <v>4.9276393960054028</v>
      </c>
      <c r="E702" s="28"/>
    </row>
    <row r="703" spans="1:5" x14ac:dyDescent="0.25">
      <c r="A703" s="11">
        <v>0.9</v>
      </c>
      <c r="B703" s="11">
        <v>0.1</v>
      </c>
      <c r="C703" s="7">
        <v>0.7</v>
      </c>
      <c r="D703" s="28">
        <v>4.8650952247396768</v>
      </c>
      <c r="E703" s="28"/>
    </row>
    <row r="704" spans="1:5" x14ac:dyDescent="0.25">
      <c r="A704" s="11">
        <v>0.9</v>
      </c>
      <c r="B704" s="11">
        <v>0.1</v>
      </c>
      <c r="C704" s="7">
        <v>0.8</v>
      </c>
      <c r="D704" s="28">
        <v>4.8036000481586552</v>
      </c>
      <c r="E704" s="28"/>
    </row>
    <row r="705" spans="1:5" x14ac:dyDescent="0.25">
      <c r="A705" s="11">
        <v>0.9</v>
      </c>
      <c r="B705" s="11">
        <v>0.1</v>
      </c>
      <c r="C705" s="7">
        <v>0.9</v>
      </c>
      <c r="D705" s="28">
        <v>4.7431383174509572</v>
      </c>
      <c r="E705" s="28"/>
    </row>
    <row r="706" spans="1:5" x14ac:dyDescent="0.25">
      <c r="A706" s="11">
        <v>0.9</v>
      </c>
      <c r="B706" s="11">
        <v>0.2</v>
      </c>
      <c r="C706" s="7">
        <v>0.1</v>
      </c>
      <c r="D706" s="28">
        <v>5.5424828426009327</v>
      </c>
      <c r="E706" s="28"/>
    </row>
    <row r="707" spans="1:5" x14ac:dyDescent="0.25">
      <c r="A707" s="11">
        <v>0.9</v>
      </c>
      <c r="B707" s="11">
        <v>0.2</v>
      </c>
      <c r="C707" s="7">
        <v>0.2</v>
      </c>
      <c r="D707" s="28">
        <v>5.4685302249894407</v>
      </c>
      <c r="E707" s="28"/>
    </row>
    <row r="708" spans="1:5" x14ac:dyDescent="0.25">
      <c r="A708" s="11">
        <v>0.9</v>
      </c>
      <c r="B708" s="11">
        <v>0.2</v>
      </c>
      <c r="C708" s="7">
        <v>0.3</v>
      </c>
      <c r="D708" s="28">
        <v>5.395842908057543</v>
      </c>
      <c r="E708" s="28"/>
    </row>
    <row r="709" spans="1:5" x14ac:dyDescent="0.25">
      <c r="A709" s="11">
        <v>0.9</v>
      </c>
      <c r="B709" s="11">
        <v>0.2</v>
      </c>
      <c r="C709" s="7">
        <v>0.4</v>
      </c>
      <c r="D709" s="28">
        <v>5.3244038648469134</v>
      </c>
      <c r="E709" s="28"/>
    </row>
    <row r="710" spans="1:5" x14ac:dyDescent="0.25">
      <c r="A710" s="11">
        <v>0.9</v>
      </c>
      <c r="B710" s="11">
        <v>0.2</v>
      </c>
      <c r="C710" s="7">
        <v>0.5</v>
      </c>
      <c r="D710" s="28">
        <v>5.2541959262393014</v>
      </c>
      <c r="E710" s="28"/>
    </row>
    <row r="711" spans="1:5" x14ac:dyDescent="0.25">
      <c r="A711" s="11">
        <v>0.9</v>
      </c>
      <c r="B711" s="11">
        <v>0.2</v>
      </c>
      <c r="C711" s="7">
        <v>0.6</v>
      </c>
      <c r="D711" s="28">
        <v>5.1852017840137927</v>
      </c>
      <c r="E711" s="28"/>
    </row>
    <row r="712" spans="1:5" x14ac:dyDescent="0.25">
      <c r="A712" s="11">
        <v>0.9</v>
      </c>
      <c r="B712" s="11">
        <v>0.2</v>
      </c>
      <c r="C712" s="7">
        <v>0.7</v>
      </c>
      <c r="D712" s="28">
        <v>5.117403993847617</v>
      </c>
      <c r="E712" s="28"/>
    </row>
    <row r="713" spans="1:5" x14ac:dyDescent="0.25">
      <c r="A713" s="11">
        <v>0.9</v>
      </c>
      <c r="B713" s="11">
        <v>0.2</v>
      </c>
      <c r="C713" s="7">
        <v>0.8</v>
      </c>
      <c r="D713" s="28">
        <v>5.0507849782390295</v>
      </c>
      <c r="E713" s="28"/>
    </row>
    <row r="714" spans="1:5" x14ac:dyDescent="0.25">
      <c r="A714" s="11">
        <v>0.9</v>
      </c>
      <c r="B714" s="11">
        <v>0.2</v>
      </c>
      <c r="C714" s="7">
        <v>0.9</v>
      </c>
      <c r="D714" s="28">
        <v>4.9853270293314162</v>
      </c>
      <c r="E714" s="28"/>
    </row>
    <row r="715" spans="1:5" x14ac:dyDescent="0.25">
      <c r="A715" s="11">
        <v>0.9</v>
      </c>
      <c r="B715" s="11">
        <v>0.3</v>
      </c>
      <c r="C715" s="7">
        <v>0.1</v>
      </c>
      <c r="D715" s="28">
        <v>5.816259480779431</v>
      </c>
      <c r="E715" s="28"/>
    </row>
    <row r="716" spans="1:5" x14ac:dyDescent="0.25">
      <c r="A716" s="11">
        <v>0.9</v>
      </c>
      <c r="B716" s="11">
        <v>0.3</v>
      </c>
      <c r="C716" s="7">
        <v>0.2</v>
      </c>
      <c r="D716" s="28">
        <v>5.7368590970681481</v>
      </c>
      <c r="E716" s="28"/>
    </row>
    <row r="717" spans="1:5" x14ac:dyDescent="0.25">
      <c r="A717" s="11">
        <v>0.9</v>
      </c>
      <c r="B717" s="11">
        <v>0.3</v>
      </c>
      <c r="C717" s="7">
        <v>0.3</v>
      </c>
      <c r="D717" s="28">
        <v>5.6588564827372183</v>
      </c>
      <c r="E717" s="28"/>
    </row>
    <row r="718" spans="1:5" x14ac:dyDescent="0.25">
      <c r="A718" s="11">
        <v>0.9</v>
      </c>
      <c r="B718" s="11">
        <v>0.3</v>
      </c>
      <c r="C718" s="7">
        <v>0.4</v>
      </c>
      <c r="D718" s="28">
        <v>5.582233059455552</v>
      </c>
      <c r="E718" s="28"/>
    </row>
    <row r="719" spans="1:5" x14ac:dyDescent="0.25">
      <c r="A719" s="11">
        <v>0.9</v>
      </c>
      <c r="B719" s="11">
        <v>0.3</v>
      </c>
      <c r="C719" s="7">
        <v>0.5</v>
      </c>
      <c r="D719" s="28">
        <v>5.5069700197822815</v>
      </c>
      <c r="E719" s="28"/>
    </row>
    <row r="720" spans="1:5" x14ac:dyDescent="0.25">
      <c r="A720" s="11">
        <v>0.9</v>
      </c>
      <c r="B720" s="11">
        <v>0.3</v>
      </c>
      <c r="C720" s="7">
        <v>0.6</v>
      </c>
      <c r="D720" s="28">
        <v>5.4330483336143951</v>
      </c>
      <c r="E720" s="28"/>
    </row>
    <row r="721" spans="1:5" x14ac:dyDescent="0.25">
      <c r="A721" s="11">
        <v>0.9</v>
      </c>
      <c r="B721" s="11">
        <v>0.3</v>
      </c>
      <c r="C721" s="7">
        <v>0.7</v>
      </c>
      <c r="D721" s="28">
        <v>5.3604487544820536</v>
      </c>
      <c r="E721" s="28"/>
    </row>
    <row r="722" spans="1:5" x14ac:dyDescent="0.25">
      <c r="A722" s="11">
        <v>0.9</v>
      </c>
      <c r="B722" s="11">
        <v>0.3</v>
      </c>
      <c r="C722" s="7">
        <v>0.8</v>
      </c>
      <c r="D722" s="28">
        <v>5.2891518256617882</v>
      </c>
      <c r="E722" s="28"/>
    </row>
    <row r="723" spans="1:5" x14ac:dyDescent="0.25">
      <c r="A723" s="11">
        <v>0.9</v>
      </c>
      <c r="B723" s="11">
        <v>0.3</v>
      </c>
      <c r="C723" s="7">
        <v>0.9</v>
      </c>
      <c r="D723" s="28">
        <v>5.2191378860793893</v>
      </c>
      <c r="E723" s="28"/>
    </row>
    <row r="724" spans="1:5" x14ac:dyDescent="0.25">
      <c r="A724" s="11">
        <v>0.9</v>
      </c>
      <c r="B724" s="11">
        <v>0.4</v>
      </c>
      <c r="C724" s="7">
        <v>0.1</v>
      </c>
      <c r="D724" s="28">
        <v>6.084696277985671</v>
      </c>
      <c r="E724" s="28"/>
    </row>
    <row r="725" spans="1:5" x14ac:dyDescent="0.25">
      <c r="A725" s="11">
        <v>0.9</v>
      </c>
      <c r="B725" s="11">
        <v>0.4</v>
      </c>
      <c r="C725" s="7">
        <v>0.2</v>
      </c>
      <c r="D725" s="28">
        <v>6.0005424424387561</v>
      </c>
      <c r="E725" s="28"/>
    </row>
    <row r="726" spans="1:5" x14ac:dyDescent="0.25">
      <c r="A726" s="11">
        <v>0.9</v>
      </c>
      <c r="B726" s="11">
        <v>0.4</v>
      </c>
      <c r="C726" s="7">
        <v>0.3</v>
      </c>
      <c r="D726" s="28">
        <v>5.9179013938103973</v>
      </c>
      <c r="E726" s="28"/>
    </row>
    <row r="727" spans="1:5" x14ac:dyDescent="0.25">
      <c r="A727" s="11">
        <v>0.9</v>
      </c>
      <c r="B727" s="11">
        <v>0.4</v>
      </c>
      <c r="C727" s="7">
        <v>0.4</v>
      </c>
      <c r="D727" s="28">
        <v>5.8367535477776107</v>
      </c>
      <c r="E727" s="28"/>
    </row>
    <row r="728" spans="1:5" x14ac:dyDescent="0.25">
      <c r="A728" s="11">
        <v>0.9</v>
      </c>
      <c r="B728" s="11">
        <v>0.4</v>
      </c>
      <c r="C728" s="7">
        <v>0.5</v>
      </c>
      <c r="D728" s="28">
        <v>5.75707897230473</v>
      </c>
      <c r="E728" s="28"/>
    </row>
    <row r="729" spans="1:5" x14ac:dyDescent="0.25">
      <c r="A729" s="11">
        <v>0.9</v>
      </c>
      <c r="B729" s="11">
        <v>0.4</v>
      </c>
      <c r="C729" s="7">
        <v>0.6</v>
      </c>
      <c r="D729" s="28">
        <v>5.6788573993012239</v>
      </c>
      <c r="E729" s="28"/>
    </row>
    <row r="730" spans="1:5" x14ac:dyDescent="0.25">
      <c r="A730" s="11">
        <v>0.9</v>
      </c>
      <c r="B730" s="11">
        <v>0.4</v>
      </c>
      <c r="C730" s="7">
        <v>0.7</v>
      </c>
      <c r="D730" s="28">
        <v>5.6020682359667173</v>
      </c>
      <c r="E730" s="28"/>
    </row>
    <row r="731" spans="1:5" x14ac:dyDescent="0.25">
      <c r="A731" s="11">
        <v>0.9</v>
      </c>
      <c r="B731" s="11">
        <v>0.4</v>
      </c>
      <c r="C731" s="7">
        <v>0.8</v>
      </c>
      <c r="D731" s="28">
        <v>5.5266905757841034</v>
      </c>
      <c r="E731" s="28"/>
    </row>
    <row r="732" spans="1:5" x14ac:dyDescent="0.25">
      <c r="A732" s="11">
        <v>0.9</v>
      </c>
      <c r="B732" s="11">
        <v>0.4</v>
      </c>
      <c r="C732" s="7">
        <v>0.9</v>
      </c>
      <c r="D732" s="28">
        <v>5.4527032091224346</v>
      </c>
      <c r="E732" s="28"/>
    </row>
    <row r="733" spans="1:5" x14ac:dyDescent="0.25">
      <c r="A733" s="11">
        <v>0.9</v>
      </c>
      <c r="B733" s="11">
        <v>0.5</v>
      </c>
      <c r="C733" s="7">
        <v>0.1</v>
      </c>
      <c r="D733" s="28">
        <v>6.3451127084556074</v>
      </c>
      <c r="E733" s="28"/>
    </row>
    <row r="734" spans="1:5" x14ac:dyDescent="0.25">
      <c r="A734" s="11">
        <v>0.9</v>
      </c>
      <c r="B734" s="11">
        <v>0.5</v>
      </c>
      <c r="C734" s="7">
        <v>0.2</v>
      </c>
      <c r="D734" s="28">
        <v>6.2573136833381469</v>
      </c>
      <c r="E734" s="28"/>
    </row>
    <row r="735" spans="1:5" x14ac:dyDescent="0.25">
      <c r="A735" s="11">
        <v>0.9</v>
      </c>
      <c r="B735" s="11">
        <v>0.5</v>
      </c>
      <c r="C735" s="7">
        <v>0.3</v>
      </c>
      <c r="D735" s="28">
        <v>6.1711087257162474</v>
      </c>
      <c r="E735" s="28"/>
    </row>
    <row r="736" spans="1:5" x14ac:dyDescent="0.25">
      <c r="A736" s="11">
        <v>0.9</v>
      </c>
      <c r="B736" s="11">
        <v>0.5</v>
      </c>
      <c r="C736" s="7">
        <v>0.4</v>
      </c>
      <c r="D736" s="28">
        <v>6.0864780610643026</v>
      </c>
      <c r="E736" s="28"/>
    </row>
    <row r="737" spans="1:5" x14ac:dyDescent="0.25">
      <c r="A737" s="11">
        <v>0.9</v>
      </c>
      <c r="B737" s="11">
        <v>0.5</v>
      </c>
      <c r="C737" s="7">
        <v>0.5</v>
      </c>
      <c r="D737" s="28">
        <v>6.0034014056576401</v>
      </c>
      <c r="E737" s="28"/>
    </row>
    <row r="738" spans="1:5" x14ac:dyDescent="0.25">
      <c r="A738" s="11">
        <v>0.9</v>
      </c>
      <c r="B738" s="11">
        <v>0.5</v>
      </c>
      <c r="C738" s="7">
        <v>0.6</v>
      </c>
      <c r="D738" s="28">
        <v>5.921857986041652</v>
      </c>
      <c r="E738" s="28"/>
    </row>
    <row r="739" spans="1:5" x14ac:dyDescent="0.25">
      <c r="A739" s="11">
        <v>0.9</v>
      </c>
      <c r="B739" s="11">
        <v>0.5</v>
      </c>
      <c r="C739" s="7">
        <v>0.7</v>
      </c>
      <c r="D739" s="28">
        <v>5.84182655792827</v>
      </c>
      <c r="E739" s="28"/>
    </row>
    <row r="740" spans="1:5" x14ac:dyDescent="0.25">
      <c r="A740" s="11">
        <v>0.9</v>
      </c>
      <c r="B740" s="11">
        <v>0.5</v>
      </c>
      <c r="C740" s="7">
        <v>0.8</v>
      </c>
      <c r="D740" s="28">
        <v>5.763285424467993</v>
      </c>
      <c r="E740" s="28"/>
    </row>
    <row r="741" spans="1:5" x14ac:dyDescent="0.25">
      <c r="A741" s="11">
        <v>0.9</v>
      </c>
      <c r="B741" s="11">
        <v>0.5</v>
      </c>
      <c r="C741" s="7">
        <v>0.9</v>
      </c>
      <c r="D741" s="28">
        <v>5.6862124538481496</v>
      </c>
      <c r="E741" s="28"/>
    </row>
    <row r="742" spans="1:5" x14ac:dyDescent="0.25">
      <c r="A742" s="11">
        <v>0.9</v>
      </c>
      <c r="B742" s="11">
        <v>0.6</v>
      </c>
      <c r="C742" s="7">
        <v>0.1</v>
      </c>
      <c r="D742" s="28">
        <v>6.5889476811462702</v>
      </c>
      <c r="E742" s="28"/>
    </row>
    <row r="743" spans="1:5" x14ac:dyDescent="0.25">
      <c r="A743" s="11">
        <v>0.9</v>
      </c>
      <c r="B743" s="11">
        <v>0.6</v>
      </c>
      <c r="C743" s="7">
        <v>0.2</v>
      </c>
      <c r="D743" s="28">
        <v>6.4991500749323574</v>
      </c>
      <c r="E743" s="28"/>
    </row>
    <row r="744" spans="1:5" x14ac:dyDescent="0.25">
      <c r="A744" s="11">
        <v>0.9</v>
      </c>
      <c r="B744" s="11">
        <v>0.6</v>
      </c>
      <c r="C744" s="7">
        <v>0.3</v>
      </c>
      <c r="D744" s="28">
        <v>6.410973412325796</v>
      </c>
      <c r="E744" s="28"/>
    </row>
    <row r="745" spans="1:5" x14ac:dyDescent="0.25">
      <c r="A745" s="11">
        <v>0.9</v>
      </c>
      <c r="B745" s="11">
        <v>0.6</v>
      </c>
      <c r="C745" s="7">
        <v>0.4</v>
      </c>
      <c r="D745" s="28">
        <v>6.3243988214663407</v>
      </c>
      <c r="E745" s="28"/>
    </row>
    <row r="746" spans="1:5" x14ac:dyDescent="0.25">
      <c r="A746" s="11">
        <v>0.9</v>
      </c>
      <c r="B746" s="11">
        <v>0.6</v>
      </c>
      <c r="C746" s="7">
        <v>0.5</v>
      </c>
      <c r="D746" s="28">
        <v>6.2394067040239527</v>
      </c>
      <c r="E746" s="28"/>
    </row>
    <row r="747" spans="1:5" x14ac:dyDescent="0.25">
      <c r="A747" s="11">
        <v>0.9</v>
      </c>
      <c r="B747" s="11">
        <v>0.6</v>
      </c>
      <c r="C747" s="7">
        <v>0.6</v>
      </c>
      <c r="D747" s="28">
        <v>6.1559767660628752</v>
      </c>
      <c r="E747" s="28"/>
    </row>
    <row r="748" spans="1:5" x14ac:dyDescent="0.25">
      <c r="A748" s="11">
        <v>0.9</v>
      </c>
      <c r="B748" s="11">
        <v>0.6</v>
      </c>
      <c r="C748" s="7">
        <v>0.7</v>
      </c>
      <c r="D748" s="28">
        <v>6.0740880479168684</v>
      </c>
      <c r="E748" s="28"/>
    </row>
    <row r="749" spans="1:5" x14ac:dyDescent="0.25">
      <c r="A749" s="11">
        <v>0.9</v>
      </c>
      <c r="B749" s="11">
        <v>0.6</v>
      </c>
      <c r="C749" s="7">
        <v>0.8</v>
      </c>
      <c r="D749" s="28">
        <v>5.9937189530101938</v>
      </c>
      <c r="E749" s="28"/>
    </row>
    <row r="750" spans="1:5" x14ac:dyDescent="0.25">
      <c r="A750" s="11">
        <v>0.9</v>
      </c>
      <c r="B750" s="11">
        <v>0.6</v>
      </c>
      <c r="C750" s="7">
        <v>0.9</v>
      </c>
      <c r="D750" s="28">
        <v>5.9148472755620913</v>
      </c>
      <c r="E750" s="28"/>
    </row>
    <row r="751" spans="1:5" x14ac:dyDescent="0.25">
      <c r="A751" s="11">
        <v>0.9</v>
      </c>
      <c r="B751" s="11">
        <v>0.7</v>
      </c>
      <c r="C751" s="7">
        <v>0.1</v>
      </c>
      <c r="D751" s="28">
        <v>6.8039312341329783</v>
      </c>
      <c r="E751" s="28"/>
    </row>
    <row r="752" spans="1:5" x14ac:dyDescent="0.25">
      <c r="A752" s="11">
        <v>0.9</v>
      </c>
      <c r="B752" s="11">
        <v>0.7</v>
      </c>
      <c r="C752" s="7">
        <v>0.2</v>
      </c>
      <c r="D752" s="28">
        <v>6.7143837009428644</v>
      </c>
      <c r="E752" s="28"/>
    </row>
    <row r="753" spans="1:5" x14ac:dyDescent="0.25">
      <c r="A753" s="11">
        <v>0.9</v>
      </c>
      <c r="B753" s="11">
        <v>0.7</v>
      </c>
      <c r="C753" s="7">
        <v>0.3</v>
      </c>
      <c r="D753" s="28">
        <v>6.6264071495930423</v>
      </c>
      <c r="E753" s="28"/>
    </row>
    <row r="754" spans="1:5" x14ac:dyDescent="0.25">
      <c r="A754" s="11">
        <v>0.9</v>
      </c>
      <c r="B754" s="11">
        <v>0.7</v>
      </c>
      <c r="C754" s="7">
        <v>0.4</v>
      </c>
      <c r="D754" s="28">
        <v>6.5399849797397644</v>
      </c>
      <c r="E754" s="28"/>
    </row>
    <row r="755" spans="1:5" x14ac:dyDescent="0.25">
      <c r="A755" s="11">
        <v>0.9</v>
      </c>
      <c r="B755" s="11">
        <v>0.7</v>
      </c>
      <c r="C755" s="7">
        <v>0.5</v>
      </c>
      <c r="D755" s="28">
        <v>6.4550995776119748</v>
      </c>
      <c r="E755" s="28"/>
    </row>
    <row r="756" spans="1:5" x14ac:dyDescent="0.25">
      <c r="A756" s="11">
        <v>0.9</v>
      </c>
      <c r="B756" s="11">
        <v>0.7</v>
      </c>
      <c r="C756" s="7">
        <v>0.6</v>
      </c>
      <c r="D756" s="28">
        <v>6.3717323630177605</v>
      </c>
      <c r="E756" s="28"/>
    </row>
    <row r="757" spans="1:5" x14ac:dyDescent="0.25">
      <c r="A757" s="11">
        <v>0.9</v>
      </c>
      <c r="B757" s="11">
        <v>0.7</v>
      </c>
      <c r="C757" s="7">
        <v>0.7</v>
      </c>
      <c r="D757" s="28">
        <v>6.289863834703608</v>
      </c>
      <c r="E757" s="28"/>
    </row>
    <row r="758" spans="1:5" x14ac:dyDescent="0.25">
      <c r="A758" s="11">
        <v>0.9</v>
      </c>
      <c r="B758" s="11">
        <v>0.7</v>
      </c>
      <c r="C758" s="7">
        <v>0.8</v>
      </c>
      <c r="D758" s="28">
        <v>6.209473613988699</v>
      </c>
      <c r="E758" s="28"/>
    </row>
    <row r="759" spans="1:5" x14ac:dyDescent="0.25">
      <c r="A759" s="11">
        <v>0.9</v>
      </c>
      <c r="B759" s="11">
        <v>0.7</v>
      </c>
      <c r="C759" s="7">
        <v>0.9</v>
      </c>
      <c r="D759" s="28">
        <v>6.1305404865981901</v>
      </c>
      <c r="E759" s="28"/>
    </row>
    <row r="760" spans="1:5" x14ac:dyDescent="0.25">
      <c r="A760" s="11">
        <v>0.9</v>
      </c>
      <c r="B760" s="11">
        <v>0.8</v>
      </c>
      <c r="C760" s="7">
        <v>0.1</v>
      </c>
      <c r="D760" s="28">
        <v>6.975307616040725</v>
      </c>
      <c r="E760" s="28"/>
    </row>
    <row r="761" spans="1:5" x14ac:dyDescent="0.25">
      <c r="A761" s="11">
        <v>0.9</v>
      </c>
      <c r="B761" s="11">
        <v>0.8</v>
      </c>
      <c r="C761" s="7">
        <v>0.2</v>
      </c>
      <c r="D761" s="28">
        <v>6.8888704322010428</v>
      </c>
      <c r="E761" s="28"/>
    </row>
    <row r="762" spans="1:5" x14ac:dyDescent="0.25">
      <c r="A762" s="11">
        <v>0.9</v>
      </c>
      <c r="B762" s="11">
        <v>0.8</v>
      </c>
      <c r="C762" s="7">
        <v>0.3</v>
      </c>
      <c r="D762" s="28">
        <v>6.8038567722349956</v>
      </c>
      <c r="E762" s="28"/>
    </row>
    <row r="763" spans="1:5" x14ac:dyDescent="0.25">
      <c r="A763" s="11">
        <v>0.9</v>
      </c>
      <c r="B763" s="11">
        <v>0.8</v>
      </c>
      <c r="C763" s="7">
        <v>0.4</v>
      </c>
      <c r="D763" s="28">
        <v>6.7202539504465424</v>
      </c>
      <c r="E763" s="28"/>
    </row>
    <row r="764" spans="1:5" x14ac:dyDescent="0.25">
      <c r="A764" s="11">
        <v>0.9</v>
      </c>
      <c r="B764" s="11">
        <v>0.8</v>
      </c>
      <c r="C764" s="7">
        <v>0.5</v>
      </c>
      <c r="D764" s="28">
        <v>6.6380478972900532</v>
      </c>
      <c r="E764" s="28"/>
    </row>
    <row r="765" spans="1:5" x14ac:dyDescent="0.25">
      <c r="A765" s="11">
        <v>0.9</v>
      </c>
      <c r="B765" s="11">
        <v>0.8</v>
      </c>
      <c r="C765" s="7">
        <v>0.6</v>
      </c>
      <c r="D765" s="28">
        <v>6.5572232285603596</v>
      </c>
      <c r="E765" s="28"/>
    </row>
    <row r="766" spans="1:5" x14ac:dyDescent="0.25">
      <c r="A766" s="11">
        <v>0.9</v>
      </c>
      <c r="B766" s="11">
        <v>0.8</v>
      </c>
      <c r="C766" s="7">
        <v>0.7</v>
      </c>
      <c r="D766" s="28">
        <v>6.4777633119083475</v>
      </c>
      <c r="E766" s="28"/>
    </row>
    <row r="767" spans="1:5" x14ac:dyDescent="0.25">
      <c r="A767" s="11">
        <v>0.9</v>
      </c>
      <c r="B767" s="11">
        <v>0.8</v>
      </c>
      <c r="C767" s="7">
        <v>0.8</v>
      </c>
      <c r="D767" s="28">
        <v>6.3996503305959589</v>
      </c>
      <c r="E767" s="28"/>
    </row>
    <row r="768" spans="1:5" x14ac:dyDescent="0.25">
      <c r="A768" s="11">
        <v>0.9</v>
      </c>
      <c r="B768" s="11">
        <v>0.8</v>
      </c>
      <c r="C768" s="7">
        <v>0.9</v>
      </c>
      <c r="D768" s="28">
        <v>6.322865344404474</v>
      </c>
      <c r="E768" s="28"/>
    </row>
    <row r="769" spans="1:5" x14ac:dyDescent="0.25">
      <c r="A769" s="11">
        <v>0.9</v>
      </c>
      <c r="B769" s="11">
        <v>0.9</v>
      </c>
      <c r="C769" s="7">
        <v>0.1</v>
      </c>
      <c r="D769" s="28">
        <v>7.0872190539691697</v>
      </c>
      <c r="E769" s="28"/>
    </row>
    <row r="770" spans="1:5" x14ac:dyDescent="0.25">
      <c r="A770" s="11">
        <v>0.9</v>
      </c>
      <c r="B770" s="11">
        <v>0.9</v>
      </c>
      <c r="C770" s="7">
        <v>0.2</v>
      </c>
      <c r="D770" s="28">
        <v>7.0072996995673691</v>
      </c>
      <c r="E770" s="28"/>
    </row>
    <row r="771" spans="1:5" x14ac:dyDescent="0.25">
      <c r="A771" s="11">
        <v>0.9</v>
      </c>
      <c r="B771" s="11">
        <v>0.9</v>
      </c>
      <c r="C771" s="7">
        <v>0.3</v>
      </c>
      <c r="D771" s="28">
        <v>6.9285441414466868</v>
      </c>
      <c r="E771" s="28"/>
    </row>
    <row r="772" spans="1:5" x14ac:dyDescent="0.25">
      <c r="A772" s="11">
        <v>0.9</v>
      </c>
      <c r="B772" s="11">
        <v>0.9</v>
      </c>
      <c r="C772" s="7">
        <v>0.4</v>
      </c>
      <c r="D772" s="28">
        <v>6.8509455272749271</v>
      </c>
      <c r="E772" s="28"/>
    </row>
    <row r="773" spans="1:5" x14ac:dyDescent="0.25">
      <c r="A773" s="11">
        <v>0.9</v>
      </c>
      <c r="B773" s="11">
        <v>0.9</v>
      </c>
      <c r="C773" s="7">
        <v>0.5</v>
      </c>
      <c r="D773" s="28">
        <v>6.7744951550501034</v>
      </c>
      <c r="E773" s="28"/>
    </row>
    <row r="774" spans="1:5" x14ac:dyDescent="0.25">
      <c r="A774" s="11">
        <v>0.9</v>
      </c>
      <c r="B774" s="11">
        <v>0.9</v>
      </c>
      <c r="C774" s="7">
        <v>0.6</v>
      </c>
      <c r="D774" s="28">
        <v>6.6991825718408462</v>
      </c>
      <c r="E774" s="28"/>
    </row>
    <row r="775" spans="1:5" x14ac:dyDescent="0.25">
      <c r="A775" s="11">
        <v>0.9</v>
      </c>
      <c r="B775" s="11">
        <v>0.9</v>
      </c>
      <c r="C775" s="7">
        <v>0.7</v>
      </c>
      <c r="D775" s="28">
        <v>6.6249956682745861</v>
      </c>
      <c r="E775" s="28"/>
    </row>
    <row r="776" spans="1:5" x14ac:dyDescent="0.25">
      <c r="A776" s="11">
        <v>0.9</v>
      </c>
      <c r="B776" s="11">
        <v>0.9</v>
      </c>
      <c r="C776" s="7">
        <v>0.8</v>
      </c>
      <c r="D776" s="28">
        <v>6.5519207686877703</v>
      </c>
      <c r="E776" s="28"/>
    </row>
    <row r="777" spans="1:5" ht="15.75" thickBot="1" x14ac:dyDescent="0.3">
      <c r="A777" s="11">
        <v>0.9</v>
      </c>
      <c r="B777" s="27">
        <v>0.9</v>
      </c>
      <c r="C777" s="9">
        <v>0.9</v>
      </c>
      <c r="D777" s="28">
        <v>6.4799427168505712</v>
      </c>
      <c r="E777" s="28"/>
    </row>
    <row r="778" spans="1:5" x14ac:dyDescent="0.25">
      <c r="A778" s="11"/>
    </row>
    <row r="779" spans="1:5" x14ac:dyDescent="0.25">
      <c r="A779" s="11"/>
    </row>
  </sheetData>
  <mergeCells count="3">
    <mergeCell ref="A44:B44"/>
    <mergeCell ref="A22:J22"/>
    <mergeCell ref="A47:E47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asonality">
                <anchor moveWithCells="1" sizeWithCells="1">
                  <from>
                    <xdr:col>7</xdr:col>
                    <xdr:colOff>9525</xdr:colOff>
                    <xdr:row>18</xdr:row>
                    <xdr:rowOff>0</xdr:rowOff>
                  </from>
                  <to>
                    <xdr:col>9</xdr:col>
                    <xdr:colOff>628650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F2C1-C814-4D31-8291-B34BC9C0E38F}">
  <sheetPr codeName="Sheet6"/>
  <dimension ref="A1:AF98"/>
  <sheetViews>
    <sheetView zoomScale="90" zoomScaleNormal="90" workbookViewId="0">
      <selection activeCell="E47" sqref="E47"/>
    </sheetView>
  </sheetViews>
  <sheetFormatPr defaultColWidth="12.5703125" defaultRowHeight="15" x14ac:dyDescent="0.25"/>
  <cols>
    <col min="1" max="16384" width="12.5703125" style="1"/>
  </cols>
  <sheetData>
    <row r="1" spans="1:2" ht="15.75" thickBot="1" x14ac:dyDescent="0.3">
      <c r="A1" s="60" t="s">
        <v>0</v>
      </c>
      <c r="B1" s="60" t="s">
        <v>4</v>
      </c>
    </row>
    <row r="2" spans="1:2" x14ac:dyDescent="0.25">
      <c r="A2" s="5">
        <v>1</v>
      </c>
      <c r="B2" s="5">
        <v>18</v>
      </c>
    </row>
    <row r="3" spans="1:2" x14ac:dyDescent="0.25">
      <c r="A3" s="5">
        <v>2</v>
      </c>
      <c r="B3" s="5">
        <v>22</v>
      </c>
    </row>
    <row r="4" spans="1:2" x14ac:dyDescent="0.25">
      <c r="A4" s="5">
        <v>3</v>
      </c>
      <c r="B4" s="5">
        <v>25</v>
      </c>
    </row>
    <row r="5" spans="1:2" x14ac:dyDescent="0.25">
      <c r="A5" s="5">
        <v>4</v>
      </c>
      <c r="B5" s="5">
        <v>27</v>
      </c>
    </row>
    <row r="6" spans="1:2" x14ac:dyDescent="0.25">
      <c r="A6" s="5">
        <v>5</v>
      </c>
      <c r="B6" s="5">
        <v>32</v>
      </c>
    </row>
    <row r="7" spans="1:2" x14ac:dyDescent="0.25">
      <c r="A7" s="5">
        <v>6</v>
      </c>
      <c r="B7" s="5">
        <v>35</v>
      </c>
    </row>
    <row r="8" spans="1:2" x14ac:dyDescent="0.25">
      <c r="A8" s="5">
        <v>7</v>
      </c>
      <c r="B8" s="5">
        <v>39</v>
      </c>
    </row>
    <row r="9" spans="1:2" x14ac:dyDescent="0.25">
      <c r="A9" s="5">
        <v>8</v>
      </c>
      <c r="B9" s="5">
        <v>41</v>
      </c>
    </row>
    <row r="10" spans="1:2" x14ac:dyDescent="0.25">
      <c r="A10" s="5">
        <v>9</v>
      </c>
      <c r="B10" s="5">
        <v>43</v>
      </c>
    </row>
    <row r="11" spans="1:2" x14ac:dyDescent="0.25">
      <c r="A11" s="5">
        <v>10</v>
      </c>
      <c r="B11" s="5">
        <v>47</v>
      </c>
    </row>
    <row r="12" spans="1:2" x14ac:dyDescent="0.25">
      <c r="A12" s="5">
        <v>11</v>
      </c>
      <c r="B12" s="5">
        <v>53</v>
      </c>
    </row>
    <row r="13" spans="1:2" x14ac:dyDescent="0.25">
      <c r="A13" s="5">
        <v>12</v>
      </c>
      <c r="B13" s="5">
        <v>55</v>
      </c>
    </row>
    <row r="14" spans="1:2" x14ac:dyDescent="0.25">
      <c r="A14" s="5">
        <v>13</v>
      </c>
      <c r="B14" s="5">
        <v>58</v>
      </c>
    </row>
    <row r="15" spans="1:2" x14ac:dyDescent="0.25">
      <c r="A15" s="5">
        <v>14</v>
      </c>
      <c r="B15" s="5">
        <v>60</v>
      </c>
    </row>
    <row r="16" spans="1:2" x14ac:dyDescent="0.25">
      <c r="A16" s="5">
        <v>15</v>
      </c>
      <c r="B16" s="5">
        <v>64</v>
      </c>
    </row>
    <row r="17" spans="1:32" x14ac:dyDescent="0.25">
      <c r="A17" s="5">
        <v>16</v>
      </c>
      <c r="B17" s="5">
        <v>66</v>
      </c>
    </row>
    <row r="18" spans="1:32" x14ac:dyDescent="0.25">
      <c r="A18" s="5">
        <v>17</v>
      </c>
      <c r="B18" s="5">
        <v>69</v>
      </c>
    </row>
    <row r="19" spans="1:32" x14ac:dyDescent="0.25">
      <c r="A19" s="5">
        <v>18</v>
      </c>
      <c r="B19" s="5">
        <v>72</v>
      </c>
    </row>
    <row r="20" spans="1:32" x14ac:dyDescent="0.25">
      <c r="A20" s="5">
        <v>19</v>
      </c>
      <c r="B20" s="5">
        <v>75</v>
      </c>
    </row>
    <row r="21" spans="1:32" ht="15.75" thickBot="1" x14ac:dyDescent="0.3">
      <c r="A21" s="6">
        <v>20</v>
      </c>
      <c r="B21" s="6">
        <v>79</v>
      </c>
    </row>
    <row r="22" spans="1:32" ht="15.75" thickBot="1" x14ac:dyDescent="0.3">
      <c r="A22" s="312" t="s">
        <v>7</v>
      </c>
      <c r="B22" s="313"/>
      <c r="C22" s="313"/>
      <c r="D22" s="313"/>
      <c r="E22" s="313"/>
      <c r="F22" s="313"/>
      <c r="G22" s="313"/>
      <c r="H22" s="314"/>
      <c r="I22" s="312" t="s">
        <v>8</v>
      </c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  <c r="V22" s="313"/>
      <c r="W22" s="313"/>
      <c r="X22" s="313"/>
      <c r="Y22" s="313"/>
      <c r="Z22" s="313"/>
      <c r="AA22" s="313"/>
      <c r="AB22" s="313"/>
      <c r="AC22" s="313"/>
      <c r="AD22" s="313"/>
      <c r="AE22" s="313"/>
      <c r="AF22" s="314"/>
    </row>
    <row r="23" spans="1:32" ht="15.75" thickBot="1" x14ac:dyDescent="0.3">
      <c r="A23" s="4" t="s">
        <v>0</v>
      </c>
      <c r="B23" s="2" t="s">
        <v>1</v>
      </c>
      <c r="C23" s="12">
        <v>2</v>
      </c>
      <c r="D23" s="17" t="s">
        <v>33</v>
      </c>
      <c r="E23" s="12">
        <v>4</v>
      </c>
      <c r="F23" s="17" t="s">
        <v>33</v>
      </c>
      <c r="G23" s="12">
        <v>5</v>
      </c>
      <c r="H23" s="17" t="s">
        <v>33</v>
      </c>
      <c r="I23" s="12">
        <v>0.2</v>
      </c>
      <c r="J23" s="17" t="s">
        <v>33</v>
      </c>
      <c r="K23" s="12">
        <v>0.5</v>
      </c>
      <c r="L23" s="17" t="s">
        <v>33</v>
      </c>
      <c r="M23" s="12">
        <v>0.8</v>
      </c>
      <c r="N23" s="17" t="s">
        <v>33</v>
      </c>
      <c r="O23" s="12">
        <v>0.7</v>
      </c>
      <c r="P23" s="17" t="s">
        <v>33</v>
      </c>
      <c r="Q23" s="12">
        <v>0.75</v>
      </c>
      <c r="R23" s="17" t="s">
        <v>33</v>
      </c>
      <c r="S23" s="12">
        <v>0.69</v>
      </c>
      <c r="T23" s="17" t="s">
        <v>33</v>
      </c>
      <c r="U23" s="12">
        <v>0.68</v>
      </c>
      <c r="V23" s="17" t="s">
        <v>33</v>
      </c>
      <c r="W23" s="12">
        <v>0.65</v>
      </c>
      <c r="X23" s="17" t="s">
        <v>33</v>
      </c>
      <c r="Y23" s="12">
        <v>0.62</v>
      </c>
      <c r="Z23" s="17" t="s">
        <v>33</v>
      </c>
      <c r="AA23" s="12">
        <v>0.64</v>
      </c>
      <c r="AB23" s="17" t="s">
        <v>33</v>
      </c>
      <c r="AC23" s="16">
        <v>0.66</v>
      </c>
      <c r="AD23" s="17" t="s">
        <v>33</v>
      </c>
      <c r="AE23" s="12">
        <v>0.67</v>
      </c>
      <c r="AF23" s="17" t="s">
        <v>33</v>
      </c>
    </row>
    <row r="24" spans="1:32" x14ac:dyDescent="0.25">
      <c r="A24" s="5">
        <v>1</v>
      </c>
      <c r="B24" s="7">
        <v>18</v>
      </c>
      <c r="C24" s="11" t="s">
        <v>34</v>
      </c>
      <c r="D24" s="8" t="s">
        <v>34</v>
      </c>
      <c r="E24" s="11" t="s">
        <v>34</v>
      </c>
      <c r="F24" s="8" t="s">
        <v>34</v>
      </c>
      <c r="G24" s="11" t="s">
        <v>34</v>
      </c>
      <c r="H24" s="8" t="s">
        <v>34</v>
      </c>
      <c r="I24" s="11" t="s">
        <v>34</v>
      </c>
      <c r="J24" s="8" t="s">
        <v>34</v>
      </c>
      <c r="K24" s="11" t="s">
        <v>34</v>
      </c>
      <c r="L24" s="8" t="s">
        <v>34</v>
      </c>
      <c r="M24" s="11" t="s">
        <v>34</v>
      </c>
      <c r="N24" s="8" t="s">
        <v>34</v>
      </c>
      <c r="O24" s="11" t="s">
        <v>34</v>
      </c>
      <c r="P24" s="8" t="s">
        <v>34</v>
      </c>
      <c r="Q24" s="11" t="s">
        <v>34</v>
      </c>
      <c r="R24" s="8" t="s">
        <v>34</v>
      </c>
      <c r="S24" s="11" t="s">
        <v>34</v>
      </c>
      <c r="T24" s="8" t="s">
        <v>34</v>
      </c>
      <c r="U24" s="11" t="s">
        <v>34</v>
      </c>
      <c r="V24" s="8" t="s">
        <v>34</v>
      </c>
      <c r="W24" s="11" t="s">
        <v>34</v>
      </c>
      <c r="X24" s="8" t="s">
        <v>34</v>
      </c>
      <c r="Y24" s="11" t="s">
        <v>34</v>
      </c>
      <c r="Z24" s="8" t="s">
        <v>34</v>
      </c>
      <c r="AA24" s="11" t="s">
        <v>34</v>
      </c>
      <c r="AB24" s="8" t="s">
        <v>34</v>
      </c>
      <c r="AC24" s="11" t="s">
        <v>34</v>
      </c>
      <c r="AD24" s="8" t="s">
        <v>34</v>
      </c>
      <c r="AE24" s="11" t="s">
        <v>34</v>
      </c>
      <c r="AF24" s="8" t="s">
        <v>34</v>
      </c>
    </row>
    <row r="25" spans="1:32" x14ac:dyDescent="0.25">
      <c r="A25" s="5">
        <v>2</v>
      </c>
      <c r="B25" s="7">
        <v>22</v>
      </c>
      <c r="C25" s="13" t="s">
        <v>34</v>
      </c>
      <c r="D25" s="14" t="s">
        <v>34</v>
      </c>
      <c r="E25" s="11" t="s">
        <v>34</v>
      </c>
      <c r="F25" s="8" t="s">
        <v>34</v>
      </c>
      <c r="G25" s="11" t="s">
        <v>34</v>
      </c>
      <c r="H25" s="8" t="s">
        <v>34</v>
      </c>
      <c r="I25" s="13">
        <f>$B$24</f>
        <v>18</v>
      </c>
      <c r="J25" s="14">
        <f>ABS($B25-I25)</f>
        <v>4</v>
      </c>
      <c r="K25" s="13">
        <f>$B$24</f>
        <v>18</v>
      </c>
      <c r="L25" s="14">
        <f>ABS($B25-K25)</f>
        <v>4</v>
      </c>
      <c r="M25" s="13">
        <f>$B$24</f>
        <v>18</v>
      </c>
      <c r="N25" s="14">
        <f>ABS($B25-M25)</f>
        <v>4</v>
      </c>
      <c r="O25" s="13">
        <f>$B$24</f>
        <v>18</v>
      </c>
      <c r="P25" s="14">
        <f>ABS($B25-O25)</f>
        <v>4</v>
      </c>
      <c r="Q25" s="13">
        <f>$B$24</f>
        <v>18</v>
      </c>
      <c r="R25" s="14">
        <f>ABS($B25-Q25)</f>
        <v>4</v>
      </c>
      <c r="S25" s="13">
        <f>$B$24</f>
        <v>18</v>
      </c>
      <c r="T25" s="14">
        <f>ABS($B25-S25)</f>
        <v>4</v>
      </c>
      <c r="U25" s="13">
        <f>$B$24</f>
        <v>18</v>
      </c>
      <c r="V25" s="14">
        <f>ABS($B25-U25)</f>
        <v>4</v>
      </c>
      <c r="W25" s="13">
        <f>$B$24</f>
        <v>18</v>
      </c>
      <c r="X25" s="14">
        <f>ABS($B25-W25)</f>
        <v>4</v>
      </c>
      <c r="Y25" s="13">
        <f>$B$24</f>
        <v>18</v>
      </c>
      <c r="Z25" s="14">
        <f>ABS($B25-Y25)</f>
        <v>4</v>
      </c>
      <c r="AA25" s="13">
        <f>$B$24</f>
        <v>18</v>
      </c>
      <c r="AB25" s="14">
        <f>ABS($B25-AA25)</f>
        <v>4</v>
      </c>
      <c r="AC25" s="13">
        <f>$B$24</f>
        <v>18</v>
      </c>
      <c r="AD25" s="14">
        <f>ABS($B25-AC25)</f>
        <v>4</v>
      </c>
      <c r="AE25" s="13">
        <f>$B$24</f>
        <v>18</v>
      </c>
      <c r="AF25" s="14">
        <f>ABS($B25-AE25)</f>
        <v>4</v>
      </c>
    </row>
    <row r="26" spans="1:32" x14ac:dyDescent="0.25">
      <c r="A26" s="5">
        <v>3</v>
      </c>
      <c r="B26" s="7">
        <v>25</v>
      </c>
      <c r="C26" s="13">
        <f>AVERAGE(B24:B25)</f>
        <v>20</v>
      </c>
      <c r="D26" s="14">
        <f>ABS(B26-C26)</f>
        <v>5</v>
      </c>
      <c r="E26" s="11" t="s">
        <v>34</v>
      </c>
      <c r="F26" s="8" t="s">
        <v>34</v>
      </c>
      <c r="G26" s="11" t="s">
        <v>34</v>
      </c>
      <c r="H26" s="8" t="s">
        <v>34</v>
      </c>
      <c r="I26" s="13">
        <f>I$23*$B25+(1-I$23)*I25</f>
        <v>18.8</v>
      </c>
      <c r="J26" s="14">
        <f t="shared" ref="J26:L33" si="0">ABS($B26-I26)</f>
        <v>6.1999999999999993</v>
      </c>
      <c r="K26" s="13">
        <f>K$23*$B25+(1-K$23)*K25</f>
        <v>20</v>
      </c>
      <c r="L26" s="14">
        <f t="shared" si="0"/>
        <v>5</v>
      </c>
      <c r="M26" s="13">
        <f>M$23*$B25+(1-M$23)*M25</f>
        <v>21.2</v>
      </c>
      <c r="N26" s="14">
        <f t="shared" ref="N26:N33" si="1">ABS($B26-M26)</f>
        <v>3.8000000000000007</v>
      </c>
      <c r="O26" s="13">
        <f>O$23*$B25+(1-O$23)*O25</f>
        <v>20.799999999999997</v>
      </c>
      <c r="P26" s="14">
        <f t="shared" ref="P26:P33" si="2">ABS($B26-O26)</f>
        <v>4.2000000000000028</v>
      </c>
      <c r="Q26" s="13">
        <f>Q$23*$B25+(1-Q$23)*Q25</f>
        <v>21</v>
      </c>
      <c r="R26" s="14">
        <f t="shared" ref="R26:R33" si="3">ABS($B26-Q26)</f>
        <v>4</v>
      </c>
      <c r="S26" s="13">
        <f>S$23*$B25+(1-S$23)*S25</f>
        <v>20.76</v>
      </c>
      <c r="T26" s="14">
        <f t="shared" ref="T26:T33" si="4">ABS($B26-S26)</f>
        <v>4.2399999999999984</v>
      </c>
      <c r="U26" s="13">
        <f>U$23*$B25+(1-U$23)*U25</f>
        <v>20.72</v>
      </c>
      <c r="V26" s="14">
        <f t="shared" ref="V26:V33" si="5">ABS($B26-U26)</f>
        <v>4.2800000000000011</v>
      </c>
      <c r="W26" s="13">
        <f>W$23*$B25+(1-W$23)*W25</f>
        <v>20.6</v>
      </c>
      <c r="X26" s="14">
        <f t="shared" ref="X26:X33" si="6">ABS($B26-W26)</f>
        <v>4.3999999999999986</v>
      </c>
      <c r="Y26" s="13">
        <f>Y$23*$B25+(1-Y$23)*Y25</f>
        <v>20.48</v>
      </c>
      <c r="Z26" s="14">
        <f t="shared" ref="Z26:Z33" si="7">ABS($B26-Y26)</f>
        <v>4.5199999999999996</v>
      </c>
      <c r="AA26" s="13">
        <f>AA$23*$B25+(1-AA$23)*AA25</f>
        <v>20.56</v>
      </c>
      <c r="AB26" s="14">
        <f t="shared" ref="AB26:AB33" si="8">ABS($B26-AA26)</f>
        <v>4.4400000000000013</v>
      </c>
      <c r="AC26" s="13">
        <f>AC$23*$B25+(1-AC$23)*AC25</f>
        <v>20.64</v>
      </c>
      <c r="AD26" s="14">
        <f t="shared" ref="AD26:AD33" si="9">ABS($B26-AC26)</f>
        <v>4.3599999999999994</v>
      </c>
      <c r="AE26" s="13">
        <f>AE$23*$B25+(1-AE$23)*AE25</f>
        <v>20.68</v>
      </c>
      <c r="AF26" s="14">
        <f t="shared" ref="AF26:AF33" si="10">ABS($B26-AE26)</f>
        <v>4.32</v>
      </c>
    </row>
    <row r="27" spans="1:32" x14ac:dyDescent="0.25">
      <c r="A27" s="5">
        <v>4</v>
      </c>
      <c r="B27" s="7">
        <v>27</v>
      </c>
      <c r="C27" s="13">
        <f t="shared" ref="C27:C33" si="11">AVERAGE(B25:B26)</f>
        <v>23.5</v>
      </c>
      <c r="D27" s="14">
        <f t="shared" ref="D27:D33" si="12">ABS(B27-C27)</f>
        <v>3.5</v>
      </c>
      <c r="E27" s="13" t="s">
        <v>34</v>
      </c>
      <c r="F27" s="14" t="s">
        <v>34</v>
      </c>
      <c r="G27" s="11" t="s">
        <v>34</v>
      </c>
      <c r="H27" s="8" t="s">
        <v>34</v>
      </c>
      <c r="I27" s="13">
        <f t="shared" ref="I27:I33" si="13">I$23*$B26+(1-I$23)*I26</f>
        <v>20.04</v>
      </c>
      <c r="J27" s="14">
        <f t="shared" si="0"/>
        <v>6.9600000000000009</v>
      </c>
      <c r="K27" s="13">
        <f t="shared" ref="K27:K33" si="14">K$23*$B26+(1-K$23)*K26</f>
        <v>22.5</v>
      </c>
      <c r="L27" s="14">
        <f t="shared" si="0"/>
        <v>4.5</v>
      </c>
      <c r="M27" s="13">
        <f t="shared" ref="M27:M33" si="15">M$23*$B26+(1-M$23)*M26</f>
        <v>24.24</v>
      </c>
      <c r="N27" s="14">
        <f t="shared" si="1"/>
        <v>2.7600000000000016</v>
      </c>
      <c r="O27" s="13">
        <f t="shared" ref="O27:O33" si="16">O$23*$B26+(1-O$23)*O26</f>
        <v>23.740000000000002</v>
      </c>
      <c r="P27" s="14">
        <f t="shared" si="2"/>
        <v>3.259999999999998</v>
      </c>
      <c r="Q27" s="13">
        <f t="shared" ref="Q27:Q33" si="17">Q$23*$B26+(1-Q$23)*Q26</f>
        <v>24</v>
      </c>
      <c r="R27" s="14">
        <f t="shared" si="3"/>
        <v>3</v>
      </c>
      <c r="S27" s="13">
        <f t="shared" ref="S27:S33" si="18">S$23*$B26+(1-S$23)*S26</f>
        <v>23.685600000000001</v>
      </c>
      <c r="T27" s="14">
        <f t="shared" si="4"/>
        <v>3.3143999999999991</v>
      </c>
      <c r="U27" s="13">
        <f t="shared" ref="U27:U33" si="19">U$23*$B26+(1-U$23)*U26</f>
        <v>23.630399999999998</v>
      </c>
      <c r="V27" s="14">
        <f t="shared" si="5"/>
        <v>3.3696000000000019</v>
      </c>
      <c r="W27" s="13">
        <f t="shared" ref="W27:W33" si="20">W$23*$B26+(1-W$23)*W26</f>
        <v>23.46</v>
      </c>
      <c r="X27" s="14">
        <f t="shared" si="6"/>
        <v>3.5399999999999991</v>
      </c>
      <c r="Y27" s="13">
        <f t="shared" ref="Y27:Y33" si="21">Y$23*$B26+(1-Y$23)*Y26</f>
        <v>23.282399999999999</v>
      </c>
      <c r="Z27" s="14">
        <f t="shared" si="7"/>
        <v>3.7176000000000009</v>
      </c>
      <c r="AA27" s="13">
        <f t="shared" ref="AA27:AA33" si="22">AA$23*$B26+(1-AA$23)*AA26</f>
        <v>23.401599999999998</v>
      </c>
      <c r="AB27" s="14">
        <f t="shared" si="8"/>
        <v>3.5984000000000016</v>
      </c>
      <c r="AC27" s="13">
        <f t="shared" ref="AC27:AC33" si="23">AC$23*$B26+(1-AC$23)*AC26</f>
        <v>23.517600000000002</v>
      </c>
      <c r="AD27" s="14">
        <f t="shared" si="9"/>
        <v>3.4823999999999984</v>
      </c>
      <c r="AE27" s="13">
        <f t="shared" ref="AE27:AE33" si="24">AE$23*$B26+(1-AE$23)*AE26</f>
        <v>23.574399999999997</v>
      </c>
      <c r="AF27" s="14">
        <f t="shared" si="10"/>
        <v>3.4256000000000029</v>
      </c>
    </row>
    <row r="28" spans="1:32" x14ac:dyDescent="0.25">
      <c r="A28" s="5">
        <v>5</v>
      </c>
      <c r="B28" s="7">
        <v>32</v>
      </c>
      <c r="C28" s="13">
        <f t="shared" si="11"/>
        <v>26</v>
      </c>
      <c r="D28" s="14">
        <f t="shared" si="12"/>
        <v>6</v>
      </c>
      <c r="E28" s="13">
        <f>AVERAGE(B24:B27)</f>
        <v>23</v>
      </c>
      <c r="F28" s="14">
        <f t="shared" ref="F28:F43" si="25">ABS(B28-E28)</f>
        <v>9</v>
      </c>
      <c r="G28" s="13" t="s">
        <v>34</v>
      </c>
      <c r="H28" s="14" t="s">
        <v>34</v>
      </c>
      <c r="I28" s="13">
        <f t="shared" si="13"/>
        <v>21.432000000000002</v>
      </c>
      <c r="J28" s="14">
        <f t="shared" si="0"/>
        <v>10.567999999999998</v>
      </c>
      <c r="K28" s="13">
        <f t="shared" si="14"/>
        <v>24.75</v>
      </c>
      <c r="L28" s="14">
        <f t="shared" si="0"/>
        <v>7.25</v>
      </c>
      <c r="M28" s="13">
        <f t="shared" si="15"/>
        <v>26.448</v>
      </c>
      <c r="N28" s="14">
        <f t="shared" si="1"/>
        <v>5.5519999999999996</v>
      </c>
      <c r="O28" s="13">
        <f t="shared" si="16"/>
        <v>26.021999999999998</v>
      </c>
      <c r="P28" s="14">
        <f t="shared" si="2"/>
        <v>5.9780000000000015</v>
      </c>
      <c r="Q28" s="13">
        <f t="shared" si="17"/>
        <v>26.25</v>
      </c>
      <c r="R28" s="14">
        <f t="shared" si="3"/>
        <v>5.75</v>
      </c>
      <c r="S28" s="13">
        <f t="shared" si="18"/>
        <v>25.972536000000002</v>
      </c>
      <c r="T28" s="14">
        <f t="shared" si="4"/>
        <v>6.0274639999999984</v>
      </c>
      <c r="U28" s="13">
        <f t="shared" si="19"/>
        <v>25.921728000000002</v>
      </c>
      <c r="V28" s="14">
        <f t="shared" si="5"/>
        <v>6.0782719999999983</v>
      </c>
      <c r="W28" s="13">
        <f t="shared" si="20"/>
        <v>25.761000000000003</v>
      </c>
      <c r="X28" s="14">
        <f t="shared" si="6"/>
        <v>6.2389999999999972</v>
      </c>
      <c r="Y28" s="13">
        <f t="shared" si="21"/>
        <v>25.587311999999997</v>
      </c>
      <c r="Z28" s="14">
        <f t="shared" si="7"/>
        <v>6.4126880000000028</v>
      </c>
      <c r="AA28" s="13">
        <f t="shared" si="22"/>
        <v>25.704575999999999</v>
      </c>
      <c r="AB28" s="14">
        <f t="shared" si="8"/>
        <v>6.2954240000000006</v>
      </c>
      <c r="AC28" s="13">
        <f t="shared" si="23"/>
        <v>25.815984</v>
      </c>
      <c r="AD28" s="14">
        <f t="shared" si="9"/>
        <v>6.1840159999999997</v>
      </c>
      <c r="AE28" s="13">
        <f t="shared" si="24"/>
        <v>25.869551999999999</v>
      </c>
      <c r="AF28" s="14">
        <f t="shared" si="10"/>
        <v>6.1304480000000012</v>
      </c>
    </row>
    <row r="29" spans="1:32" x14ac:dyDescent="0.25">
      <c r="A29" s="5">
        <v>6</v>
      </c>
      <c r="B29" s="7">
        <v>35</v>
      </c>
      <c r="C29" s="13">
        <f t="shared" si="11"/>
        <v>29.5</v>
      </c>
      <c r="D29" s="14">
        <f t="shared" si="12"/>
        <v>5.5</v>
      </c>
      <c r="E29" s="13">
        <f>AVERAGE(B25:B28)</f>
        <v>26.5</v>
      </c>
      <c r="F29" s="14">
        <f t="shared" si="25"/>
        <v>8.5</v>
      </c>
      <c r="G29" s="13">
        <f>AVERAGE(B25:B29)</f>
        <v>28.2</v>
      </c>
      <c r="H29" s="14">
        <f t="shared" ref="H29:H43" si="26">ABS(B29-G29)</f>
        <v>6.8000000000000007</v>
      </c>
      <c r="I29" s="13">
        <f t="shared" si="13"/>
        <v>23.5456</v>
      </c>
      <c r="J29" s="14">
        <f t="shared" si="0"/>
        <v>11.4544</v>
      </c>
      <c r="K29" s="13">
        <f t="shared" si="14"/>
        <v>28.375</v>
      </c>
      <c r="L29" s="14">
        <f t="shared" si="0"/>
        <v>6.625</v>
      </c>
      <c r="M29" s="13">
        <f t="shared" si="15"/>
        <v>30.889600000000002</v>
      </c>
      <c r="N29" s="14">
        <f t="shared" si="1"/>
        <v>4.1103999999999985</v>
      </c>
      <c r="O29" s="13">
        <f t="shared" si="16"/>
        <v>30.206599999999998</v>
      </c>
      <c r="P29" s="14">
        <f t="shared" si="2"/>
        <v>4.7934000000000019</v>
      </c>
      <c r="Q29" s="13">
        <f t="shared" si="17"/>
        <v>30.5625</v>
      </c>
      <c r="R29" s="14">
        <f t="shared" si="3"/>
        <v>4.4375</v>
      </c>
      <c r="S29" s="13">
        <f t="shared" si="18"/>
        <v>30.131486160000001</v>
      </c>
      <c r="T29" s="14">
        <f t="shared" si="4"/>
        <v>4.8685138399999985</v>
      </c>
      <c r="U29" s="13">
        <f t="shared" si="19"/>
        <v>30.054952960000001</v>
      </c>
      <c r="V29" s="14">
        <f t="shared" si="5"/>
        <v>4.9450470399999986</v>
      </c>
      <c r="W29" s="13">
        <f t="shared" si="20"/>
        <v>29.81635</v>
      </c>
      <c r="X29" s="14">
        <f t="shared" si="6"/>
        <v>5.1836500000000001</v>
      </c>
      <c r="Y29" s="13">
        <f t="shared" si="21"/>
        <v>29.563178559999997</v>
      </c>
      <c r="Z29" s="14">
        <f t="shared" si="7"/>
        <v>5.4368214400000028</v>
      </c>
      <c r="AA29" s="13">
        <f t="shared" si="22"/>
        <v>29.733647359999999</v>
      </c>
      <c r="AB29" s="14">
        <f t="shared" si="8"/>
        <v>5.2663526400000009</v>
      </c>
      <c r="AC29" s="13">
        <f t="shared" si="23"/>
        <v>29.897434560000001</v>
      </c>
      <c r="AD29" s="14">
        <f t="shared" si="9"/>
        <v>5.1025654399999993</v>
      </c>
      <c r="AE29" s="13">
        <f t="shared" si="24"/>
        <v>29.97695216</v>
      </c>
      <c r="AF29" s="14">
        <f t="shared" si="10"/>
        <v>5.0230478400000003</v>
      </c>
    </row>
    <row r="30" spans="1:32" x14ac:dyDescent="0.25">
      <c r="A30" s="5">
        <v>7</v>
      </c>
      <c r="B30" s="7">
        <v>39</v>
      </c>
      <c r="C30" s="13">
        <f t="shared" si="11"/>
        <v>33.5</v>
      </c>
      <c r="D30" s="14">
        <f t="shared" si="12"/>
        <v>5.5</v>
      </c>
      <c r="E30" s="13">
        <f>AVERAGE(B26:B29)</f>
        <v>29.75</v>
      </c>
      <c r="F30" s="14">
        <f t="shared" si="25"/>
        <v>9.25</v>
      </c>
      <c r="G30" s="13">
        <f>AVERAGE(B26:B30)</f>
        <v>31.6</v>
      </c>
      <c r="H30" s="14">
        <f t="shared" si="26"/>
        <v>7.3999999999999986</v>
      </c>
      <c r="I30" s="13">
        <f t="shared" si="13"/>
        <v>25.836480000000002</v>
      </c>
      <c r="J30" s="14">
        <f t="shared" si="0"/>
        <v>13.163519999999998</v>
      </c>
      <c r="K30" s="13">
        <f t="shared" si="14"/>
        <v>31.6875</v>
      </c>
      <c r="L30" s="14">
        <f t="shared" si="0"/>
        <v>7.3125</v>
      </c>
      <c r="M30" s="13">
        <f t="shared" si="15"/>
        <v>34.17792</v>
      </c>
      <c r="N30" s="14">
        <f t="shared" si="1"/>
        <v>4.8220799999999997</v>
      </c>
      <c r="O30" s="13">
        <f t="shared" si="16"/>
        <v>33.561979999999998</v>
      </c>
      <c r="P30" s="14">
        <f t="shared" si="2"/>
        <v>5.4380200000000016</v>
      </c>
      <c r="Q30" s="13">
        <f t="shared" si="17"/>
        <v>33.890625</v>
      </c>
      <c r="R30" s="14">
        <f t="shared" si="3"/>
        <v>5.109375</v>
      </c>
      <c r="S30" s="13">
        <f t="shared" si="18"/>
        <v>33.490760709599996</v>
      </c>
      <c r="T30" s="14">
        <f t="shared" si="4"/>
        <v>5.5092392904000036</v>
      </c>
      <c r="U30" s="13">
        <f t="shared" si="19"/>
        <v>33.417584947199998</v>
      </c>
      <c r="V30" s="14">
        <f t="shared" si="5"/>
        <v>5.5824150528000018</v>
      </c>
      <c r="W30" s="13">
        <f t="shared" si="20"/>
        <v>33.185722499999997</v>
      </c>
      <c r="X30" s="14">
        <f t="shared" si="6"/>
        <v>5.8142775000000029</v>
      </c>
      <c r="Y30" s="13">
        <f t="shared" si="21"/>
        <v>32.934007852800001</v>
      </c>
      <c r="Z30" s="14">
        <f t="shared" si="7"/>
        <v>6.0659921471999994</v>
      </c>
      <c r="AA30" s="13">
        <f t="shared" si="22"/>
        <v>33.104113049600002</v>
      </c>
      <c r="AB30" s="14">
        <f t="shared" si="8"/>
        <v>5.8958869503999978</v>
      </c>
      <c r="AC30" s="13">
        <f t="shared" si="23"/>
        <v>33.265127750399998</v>
      </c>
      <c r="AD30" s="14">
        <f t="shared" si="9"/>
        <v>5.7348722496000022</v>
      </c>
      <c r="AE30" s="13">
        <f t="shared" si="24"/>
        <v>33.342394212800002</v>
      </c>
      <c r="AF30" s="14">
        <f t="shared" si="10"/>
        <v>5.6576057871999978</v>
      </c>
    </row>
    <row r="31" spans="1:32" x14ac:dyDescent="0.25">
      <c r="A31" s="5">
        <v>8</v>
      </c>
      <c r="B31" s="7">
        <v>41</v>
      </c>
      <c r="C31" s="13">
        <f t="shared" si="11"/>
        <v>37</v>
      </c>
      <c r="D31" s="14">
        <f t="shared" si="12"/>
        <v>4</v>
      </c>
      <c r="E31" s="13">
        <f>AVERAGE(B27:B30)</f>
        <v>33.25</v>
      </c>
      <c r="F31" s="14">
        <f t="shared" si="25"/>
        <v>7.75</v>
      </c>
      <c r="G31" s="13">
        <f>AVERAGE(B27:B31)</f>
        <v>34.799999999999997</v>
      </c>
      <c r="H31" s="14">
        <f t="shared" si="26"/>
        <v>6.2000000000000028</v>
      </c>
      <c r="I31" s="13">
        <f t="shared" si="13"/>
        <v>28.469184000000002</v>
      </c>
      <c r="J31" s="14">
        <f t="shared" si="0"/>
        <v>12.530815999999998</v>
      </c>
      <c r="K31" s="13">
        <f t="shared" si="14"/>
        <v>35.34375</v>
      </c>
      <c r="L31" s="14">
        <f t="shared" si="0"/>
        <v>5.65625</v>
      </c>
      <c r="M31" s="13">
        <f t="shared" si="15"/>
        <v>38.035584</v>
      </c>
      <c r="N31" s="14">
        <f t="shared" si="1"/>
        <v>2.9644159999999999</v>
      </c>
      <c r="O31" s="13">
        <f t="shared" si="16"/>
        <v>37.368594000000002</v>
      </c>
      <c r="P31" s="14">
        <f t="shared" si="2"/>
        <v>3.6314059999999984</v>
      </c>
      <c r="Q31" s="13">
        <f t="shared" si="17"/>
        <v>37.72265625</v>
      </c>
      <c r="R31" s="14">
        <f t="shared" si="3"/>
        <v>3.27734375</v>
      </c>
      <c r="S31" s="13">
        <f t="shared" si="18"/>
        <v>37.292135819975996</v>
      </c>
      <c r="T31" s="14">
        <f t="shared" si="4"/>
        <v>3.7078641800240035</v>
      </c>
      <c r="U31" s="13">
        <f t="shared" si="19"/>
        <v>37.213627183104002</v>
      </c>
      <c r="V31" s="14">
        <f t="shared" si="5"/>
        <v>3.786372816895998</v>
      </c>
      <c r="W31" s="13">
        <f t="shared" si="20"/>
        <v>36.965002874999996</v>
      </c>
      <c r="X31" s="14">
        <f t="shared" si="6"/>
        <v>4.0349971250000038</v>
      </c>
      <c r="Y31" s="13">
        <f t="shared" si="21"/>
        <v>36.694922984064</v>
      </c>
      <c r="Z31" s="14">
        <f t="shared" si="7"/>
        <v>4.3050770159359999</v>
      </c>
      <c r="AA31" s="13">
        <f t="shared" si="22"/>
        <v>36.877480697856001</v>
      </c>
      <c r="AB31" s="14">
        <f t="shared" si="8"/>
        <v>4.1225193021439992</v>
      </c>
      <c r="AC31" s="13">
        <f t="shared" si="23"/>
        <v>37.050143435136</v>
      </c>
      <c r="AD31" s="14">
        <f t="shared" si="9"/>
        <v>3.9498565648639996</v>
      </c>
      <c r="AE31" s="13">
        <f t="shared" si="24"/>
        <v>37.132990090223998</v>
      </c>
      <c r="AF31" s="14">
        <f t="shared" si="10"/>
        <v>3.8670099097760016</v>
      </c>
    </row>
    <row r="32" spans="1:32" x14ac:dyDescent="0.25">
      <c r="A32" s="5">
        <v>9</v>
      </c>
      <c r="B32" s="7">
        <v>43</v>
      </c>
      <c r="C32" s="13">
        <f t="shared" si="11"/>
        <v>40</v>
      </c>
      <c r="D32" s="14">
        <f t="shared" si="12"/>
        <v>3</v>
      </c>
      <c r="E32" s="13">
        <f>AVERAGE(B28:B31)</f>
        <v>36.75</v>
      </c>
      <c r="F32" s="14">
        <f t="shared" si="25"/>
        <v>6.25</v>
      </c>
      <c r="G32" s="13">
        <f>AVERAGE(B28:B32)</f>
        <v>38</v>
      </c>
      <c r="H32" s="14">
        <f t="shared" si="26"/>
        <v>5</v>
      </c>
      <c r="I32" s="13">
        <f t="shared" si="13"/>
        <v>30.975347200000002</v>
      </c>
      <c r="J32" s="14">
        <f t="shared" si="0"/>
        <v>12.024652799999998</v>
      </c>
      <c r="K32" s="13">
        <f t="shared" si="14"/>
        <v>38.171875</v>
      </c>
      <c r="L32" s="14">
        <f t="shared" si="0"/>
        <v>4.828125</v>
      </c>
      <c r="M32" s="13">
        <f t="shared" si="15"/>
        <v>40.407116800000004</v>
      </c>
      <c r="N32" s="14">
        <f t="shared" si="1"/>
        <v>2.5928831999999957</v>
      </c>
      <c r="O32" s="13">
        <f t="shared" si="16"/>
        <v>39.910578200000003</v>
      </c>
      <c r="P32" s="14">
        <f t="shared" si="2"/>
        <v>3.0894217999999967</v>
      </c>
      <c r="Q32" s="13">
        <f t="shared" si="17"/>
        <v>40.1806640625</v>
      </c>
      <c r="R32" s="14">
        <f t="shared" si="3"/>
        <v>2.8193359375</v>
      </c>
      <c r="S32" s="13">
        <f t="shared" si="18"/>
        <v>39.850562104192562</v>
      </c>
      <c r="T32" s="14">
        <f t="shared" si="4"/>
        <v>3.1494378958074378</v>
      </c>
      <c r="U32" s="13">
        <f t="shared" si="19"/>
        <v>39.78836069859328</v>
      </c>
      <c r="V32" s="14">
        <f t="shared" si="5"/>
        <v>3.2116393014067199</v>
      </c>
      <c r="W32" s="13">
        <f t="shared" si="20"/>
        <v>39.587751006250002</v>
      </c>
      <c r="X32" s="14">
        <f t="shared" si="6"/>
        <v>3.4122489937499978</v>
      </c>
      <c r="Y32" s="13">
        <f t="shared" si="21"/>
        <v>39.364070733944317</v>
      </c>
      <c r="Z32" s="14">
        <f t="shared" si="7"/>
        <v>3.6359292660556832</v>
      </c>
      <c r="AA32" s="13">
        <f t="shared" si="22"/>
        <v>39.515893051228161</v>
      </c>
      <c r="AB32" s="14">
        <f t="shared" si="8"/>
        <v>3.4841069487718386</v>
      </c>
      <c r="AC32" s="13">
        <f t="shared" si="23"/>
        <v>39.657048767946243</v>
      </c>
      <c r="AD32" s="14">
        <f t="shared" si="9"/>
        <v>3.3429512320537569</v>
      </c>
      <c r="AE32" s="13">
        <f t="shared" si="24"/>
        <v>39.723886729773923</v>
      </c>
      <c r="AF32" s="14">
        <f t="shared" si="10"/>
        <v>3.2761132702260767</v>
      </c>
    </row>
    <row r="33" spans="1:32" x14ac:dyDescent="0.25">
      <c r="A33" s="5">
        <v>10</v>
      </c>
      <c r="B33" s="7">
        <v>47</v>
      </c>
      <c r="C33" s="13">
        <f t="shared" si="11"/>
        <v>42</v>
      </c>
      <c r="D33" s="14">
        <f t="shared" si="12"/>
        <v>5</v>
      </c>
      <c r="E33" s="13">
        <f t="shared" ref="E33:E38" si="27">AVERAGE(B29:B32)</f>
        <v>39.5</v>
      </c>
      <c r="F33" s="14">
        <f t="shared" si="25"/>
        <v>7.5</v>
      </c>
      <c r="G33" s="13">
        <f>AVERAGE(B29:B33)</f>
        <v>41</v>
      </c>
      <c r="H33" s="14">
        <f t="shared" si="26"/>
        <v>6</v>
      </c>
      <c r="I33" s="13">
        <f t="shared" si="13"/>
        <v>33.380277760000006</v>
      </c>
      <c r="J33" s="14">
        <f t="shared" si="0"/>
        <v>13.619722239999994</v>
      </c>
      <c r="K33" s="13">
        <f t="shared" si="14"/>
        <v>40.5859375</v>
      </c>
      <c r="L33" s="14">
        <f t="shared" si="0"/>
        <v>6.4140625</v>
      </c>
      <c r="M33" s="13">
        <f t="shared" si="15"/>
        <v>42.481423359999994</v>
      </c>
      <c r="N33" s="14">
        <f t="shared" si="1"/>
        <v>4.5185766400000063</v>
      </c>
      <c r="O33" s="13">
        <f t="shared" si="16"/>
        <v>42.07317346</v>
      </c>
      <c r="P33" s="14">
        <f t="shared" si="2"/>
        <v>4.9268265400000004</v>
      </c>
      <c r="Q33" s="13">
        <f t="shared" si="17"/>
        <v>42.295166015625</v>
      </c>
      <c r="R33" s="14">
        <f t="shared" si="3"/>
        <v>4.704833984375</v>
      </c>
      <c r="S33" s="13">
        <f t="shared" si="18"/>
        <v>42.023674252299692</v>
      </c>
      <c r="T33" s="14">
        <f t="shared" si="4"/>
        <v>4.976325747700308</v>
      </c>
      <c r="U33" s="13">
        <f t="shared" si="19"/>
        <v>41.972275423549846</v>
      </c>
      <c r="V33" s="14">
        <f t="shared" si="5"/>
        <v>5.0277245764501544</v>
      </c>
      <c r="W33" s="13">
        <f t="shared" si="20"/>
        <v>41.805712852187497</v>
      </c>
      <c r="X33" s="14">
        <f t="shared" si="6"/>
        <v>5.1942871478125028</v>
      </c>
      <c r="Y33" s="13">
        <f t="shared" si="21"/>
        <v>41.618346878898841</v>
      </c>
      <c r="Z33" s="14">
        <f t="shared" si="7"/>
        <v>5.3816531211011593</v>
      </c>
      <c r="AA33" s="13">
        <f t="shared" si="22"/>
        <v>41.745721498442137</v>
      </c>
      <c r="AB33" s="14">
        <f t="shared" si="8"/>
        <v>5.254278501557863</v>
      </c>
      <c r="AC33" s="13">
        <f t="shared" si="23"/>
        <v>41.863396581101725</v>
      </c>
      <c r="AD33" s="14">
        <f t="shared" si="9"/>
        <v>5.1366034188982752</v>
      </c>
      <c r="AE33" s="13">
        <f t="shared" si="24"/>
        <v>41.918882620825393</v>
      </c>
      <c r="AF33" s="14">
        <f t="shared" si="10"/>
        <v>5.0811173791746072</v>
      </c>
    </row>
    <row r="34" spans="1:32" x14ac:dyDescent="0.25">
      <c r="A34" s="5">
        <v>11</v>
      </c>
      <c r="B34" s="7">
        <v>53</v>
      </c>
      <c r="C34" s="13">
        <f>AVERAGE(B32:B33)</f>
        <v>45</v>
      </c>
      <c r="D34" s="14">
        <f>ABS(B34-C34)</f>
        <v>8</v>
      </c>
      <c r="E34" s="13">
        <f t="shared" si="27"/>
        <v>42.5</v>
      </c>
      <c r="F34" s="14">
        <f t="shared" si="25"/>
        <v>10.5</v>
      </c>
      <c r="G34" s="13">
        <f t="shared" ref="G34:G39" si="28">AVERAGE(B29:B33)</f>
        <v>41</v>
      </c>
      <c r="H34" s="14">
        <f t="shared" si="26"/>
        <v>12</v>
      </c>
      <c r="I34" s="13">
        <f>I33+(I23*($B$33-I33))</f>
        <v>36.104222208000003</v>
      </c>
      <c r="J34" s="14">
        <f>ABS($B34-I34)</f>
        <v>16.895777791999997</v>
      </c>
      <c r="K34" s="13">
        <f>K33+(K23*($B$33-K33))</f>
        <v>43.79296875</v>
      </c>
      <c r="L34" s="14">
        <f>ABS($B34-K34)</f>
        <v>9.20703125</v>
      </c>
      <c r="M34" s="13">
        <f>M33+(M23*($B$33-M33))</f>
        <v>46.096284671999996</v>
      </c>
      <c r="N34" s="14">
        <f>ABS($B34-M34)</f>
        <v>6.9037153280000041</v>
      </c>
      <c r="O34" s="13">
        <f>O33+(O23*($B$33-O33))</f>
        <v>45.521952038000002</v>
      </c>
      <c r="P34" s="14">
        <f>ABS($B34-O34)</f>
        <v>7.478047961999998</v>
      </c>
      <c r="Q34" s="13">
        <f>Q33+(Q23*($B$33-Q33))</f>
        <v>45.82379150390625</v>
      </c>
      <c r="R34" s="14">
        <f>ABS($B34-Q34)</f>
        <v>7.17620849609375</v>
      </c>
      <c r="S34" s="13">
        <f>S33+(S23*($B$33-S33))</f>
        <v>45.457339018212906</v>
      </c>
      <c r="T34" s="14">
        <f>ABS($B34-S34)</f>
        <v>7.542660981787094</v>
      </c>
      <c r="U34" s="13">
        <f>U33+(U23*($B$33-U33))</f>
        <v>45.391128135535951</v>
      </c>
      <c r="V34" s="14">
        <f>ABS($B34-U34)</f>
        <v>7.6088718644640494</v>
      </c>
      <c r="W34" s="13">
        <f>W33+(W23*($B$33-W33))</f>
        <v>45.181999498265625</v>
      </c>
      <c r="X34" s="14">
        <f>ABS($B34-W34)</f>
        <v>7.8180005017343746</v>
      </c>
      <c r="Y34" s="13">
        <f>Y33+(Y23*($B$33-Y33))</f>
        <v>44.954971813981558</v>
      </c>
      <c r="Z34" s="14">
        <f>ABS($B34-Y34)</f>
        <v>8.0450281860184418</v>
      </c>
      <c r="AA34" s="13">
        <f>AA33+(AA23*($B$33-AA33))</f>
        <v>45.108459739439169</v>
      </c>
      <c r="AB34" s="14">
        <f>ABS($B34-AA34)</f>
        <v>7.8915402605608307</v>
      </c>
      <c r="AC34" s="13">
        <f>AC33+(AC23*($B$33-AC33))</f>
        <v>45.253554837574583</v>
      </c>
      <c r="AD34" s="14">
        <f>ABS($B34-AC34)</f>
        <v>7.7464451624254167</v>
      </c>
      <c r="AE34" s="13">
        <f>AE33+(AE23*($B$33-AE33))</f>
        <v>45.323231264872376</v>
      </c>
      <c r="AF34" s="14">
        <f>ABS($B34-AE34)</f>
        <v>7.6767687351276237</v>
      </c>
    </row>
    <row r="35" spans="1:32" x14ac:dyDescent="0.25">
      <c r="A35" s="5">
        <v>12</v>
      </c>
      <c r="B35" s="7">
        <v>55</v>
      </c>
      <c r="C35" s="13">
        <f>AVERAGE(B33:B34)</f>
        <v>50</v>
      </c>
      <c r="D35" s="14">
        <f>ABS(B35-C35)</f>
        <v>5</v>
      </c>
      <c r="E35" s="13">
        <f t="shared" si="27"/>
        <v>46</v>
      </c>
      <c r="F35" s="14">
        <f t="shared" si="25"/>
        <v>9</v>
      </c>
      <c r="G35" s="13">
        <f t="shared" si="28"/>
        <v>44.6</v>
      </c>
      <c r="H35" s="14">
        <f t="shared" si="26"/>
        <v>10.399999999999999</v>
      </c>
      <c r="I35" s="13">
        <f t="shared" ref="I35:I43" si="29">I34+($I$23*($B$34-I34))</f>
        <v>39.483377766400004</v>
      </c>
      <c r="J35" s="14">
        <f>ABS($B35-I35)</f>
        <v>15.516622233599996</v>
      </c>
      <c r="K35" s="13">
        <f t="shared" ref="K35:K43" si="30">K34+($K$23*($B$34-K34))</f>
        <v>48.396484375</v>
      </c>
      <c r="L35" s="14">
        <f>ABS($B35-K35)</f>
        <v>6.603515625</v>
      </c>
      <c r="M35" s="13">
        <f t="shared" ref="M35:M43" si="31">M34+($M$23*($B$34-M34))</f>
        <v>51.619256934399999</v>
      </c>
      <c r="N35" s="14">
        <f>ABS($B35-M35)</f>
        <v>3.3807430656000008</v>
      </c>
      <c r="O35" s="13">
        <f t="shared" ref="O35:O43" si="32">O34+($O$23*($B$34-O34))</f>
        <v>50.756585611399998</v>
      </c>
      <c r="P35" s="14">
        <f>ABS($B35-O35)</f>
        <v>4.2434143886000015</v>
      </c>
      <c r="Q35" s="13">
        <f t="shared" ref="Q35:Q43" si="33">Q34+($Q$23*($B$34-Q34))</f>
        <v>51.205947875976563</v>
      </c>
      <c r="R35" s="14">
        <f>ABS($B35-Q35)</f>
        <v>3.7940521240234375</v>
      </c>
      <c r="S35" s="13">
        <f t="shared" ref="S35:S43" si="34">S34+($S$23*($B$34-S34))</f>
        <v>50.661775095646</v>
      </c>
      <c r="T35" s="14">
        <f>ABS($B35-S35)</f>
        <v>4.338224904354</v>
      </c>
      <c r="U35" s="13">
        <f t="shared" ref="U35:U43" si="35">U34+($U$23*($B$34-U34))</f>
        <v>50.565161003371507</v>
      </c>
      <c r="V35" s="14">
        <f>ABS($B35-U35)</f>
        <v>4.4348389966284927</v>
      </c>
      <c r="W35" s="13">
        <f t="shared" ref="W35:W43" si="36">W34+($W$23*($B$34-W34))</f>
        <v>50.263699824392972</v>
      </c>
      <c r="X35" s="14">
        <f>ABS($B35-W35)</f>
        <v>4.7363001756070275</v>
      </c>
      <c r="Y35" s="13">
        <f t="shared" ref="Y35:Y43" si="37">Y34+($Y$23*($B$34-Y34))</f>
        <v>49.942889289312994</v>
      </c>
      <c r="Z35" s="14">
        <f>ABS($B35-Y35)</f>
        <v>5.0571107106870059</v>
      </c>
      <c r="AA35" s="13">
        <f t="shared" ref="AA35:AA43" si="38">AA34+($AA$23*($B$34-AA34))</f>
        <v>50.159045506198098</v>
      </c>
      <c r="AB35" s="14">
        <f>ABS($B35-AA35)</f>
        <v>4.8409544938019025</v>
      </c>
      <c r="AC35" s="13">
        <f t="shared" ref="AC35:AC43" si="39">AC34+($AC$23*($B$34-AC34))</f>
        <v>50.366208644775355</v>
      </c>
      <c r="AD35" s="14">
        <f>ABS($B35-AC35)</f>
        <v>4.6337913552246448</v>
      </c>
      <c r="AE35" s="13">
        <f t="shared" ref="AE35:AE43" si="40">AE34+($AE$23*($B$34-AE34))</f>
        <v>50.466666317407885</v>
      </c>
      <c r="AF35" s="14">
        <f>ABS($B35-AE35)</f>
        <v>4.5333336825921151</v>
      </c>
    </row>
    <row r="36" spans="1:32" x14ac:dyDescent="0.25">
      <c r="A36" s="5">
        <v>13</v>
      </c>
      <c r="B36" s="7">
        <v>58</v>
      </c>
      <c r="C36" s="13">
        <f>AVERAGE(B34:B35)</f>
        <v>54</v>
      </c>
      <c r="D36" s="14">
        <f>ABS(B36-C36)</f>
        <v>4</v>
      </c>
      <c r="E36" s="13">
        <f t="shared" si="27"/>
        <v>49.5</v>
      </c>
      <c r="F36" s="14">
        <f t="shared" si="25"/>
        <v>8.5</v>
      </c>
      <c r="G36" s="13">
        <f t="shared" si="28"/>
        <v>47.8</v>
      </c>
      <c r="H36" s="14">
        <f t="shared" si="26"/>
        <v>10.200000000000003</v>
      </c>
      <c r="I36" s="13">
        <f t="shared" si="29"/>
        <v>42.18670221312</v>
      </c>
      <c r="J36" s="14">
        <f t="shared" ref="J36:J43" si="41">ABS($B36-I36)</f>
        <v>15.81329778688</v>
      </c>
      <c r="K36" s="13">
        <f t="shared" si="30"/>
        <v>50.6982421875</v>
      </c>
      <c r="L36" s="14">
        <f t="shared" ref="L36:L43" si="42">ABS($B36-K36)</f>
        <v>7.3017578125</v>
      </c>
      <c r="M36" s="13">
        <f t="shared" si="31"/>
        <v>52.72385138688</v>
      </c>
      <c r="N36" s="14">
        <f t="shared" ref="N36:N43" si="43">ABS($B36-M36)</f>
        <v>5.2761486131200002</v>
      </c>
      <c r="O36" s="13">
        <f t="shared" si="32"/>
        <v>52.326975683420002</v>
      </c>
      <c r="P36" s="14">
        <f t="shared" ref="P36:P43" si="44">ABS($B36-O36)</f>
        <v>5.6730243165799976</v>
      </c>
      <c r="Q36" s="13">
        <f t="shared" si="33"/>
        <v>52.551486968994141</v>
      </c>
      <c r="R36" s="14">
        <f t="shared" ref="R36:R43" si="45">ABS($B36-Q36)</f>
        <v>5.4485130310058594</v>
      </c>
      <c r="S36" s="13">
        <f t="shared" si="34"/>
        <v>52.275150279650262</v>
      </c>
      <c r="T36" s="14">
        <f t="shared" ref="T36:T43" si="46">ABS($B36-S36)</f>
        <v>5.7248497203497379</v>
      </c>
      <c r="U36" s="13">
        <f t="shared" si="35"/>
        <v>52.220851521078885</v>
      </c>
      <c r="V36" s="14">
        <f t="shared" ref="V36:V43" si="47">ABS($B36-U36)</f>
        <v>5.7791484789211154</v>
      </c>
      <c r="W36" s="13">
        <f t="shared" si="36"/>
        <v>52.042294938537538</v>
      </c>
      <c r="X36" s="14">
        <f t="shared" ref="X36:X43" si="48">ABS($B36-W36)</f>
        <v>5.9577050614624625</v>
      </c>
      <c r="Y36" s="13">
        <f t="shared" si="37"/>
        <v>51.838297929938939</v>
      </c>
      <c r="Z36" s="14">
        <f t="shared" ref="Z36:Z43" si="49">ABS($B36-Y36)</f>
        <v>6.161702070061061</v>
      </c>
      <c r="AA36" s="13">
        <f t="shared" si="38"/>
        <v>51.977256382231317</v>
      </c>
      <c r="AB36" s="14">
        <f t="shared" ref="AB36:AB43" si="50">ABS($B36-AA36)</f>
        <v>6.0227436177686826</v>
      </c>
      <c r="AC36" s="13">
        <f t="shared" si="39"/>
        <v>52.104510939223623</v>
      </c>
      <c r="AD36" s="14">
        <f t="shared" ref="AD36:AD43" si="51">ABS($B36-AC36)</f>
        <v>5.8954890607763772</v>
      </c>
      <c r="AE36" s="13">
        <f t="shared" si="40"/>
        <v>52.163999884744605</v>
      </c>
      <c r="AF36" s="14">
        <f t="shared" ref="AF36:AF43" si="52">ABS($B36-AE36)</f>
        <v>5.8360001152553949</v>
      </c>
    </row>
    <row r="37" spans="1:32" x14ac:dyDescent="0.25">
      <c r="A37" s="5">
        <v>14</v>
      </c>
      <c r="B37" s="7">
        <v>60</v>
      </c>
      <c r="C37" s="13">
        <f t="shared" ref="C37:C43" si="53">AVERAGE(B35:B36)</f>
        <v>56.5</v>
      </c>
      <c r="D37" s="14">
        <f t="shared" ref="D37:D43" si="54">ABS(B37-C37)</f>
        <v>3.5</v>
      </c>
      <c r="E37" s="13">
        <f t="shared" si="27"/>
        <v>53.25</v>
      </c>
      <c r="F37" s="14">
        <f t="shared" si="25"/>
        <v>6.75</v>
      </c>
      <c r="G37" s="13">
        <f t="shared" si="28"/>
        <v>51.2</v>
      </c>
      <c r="H37" s="14">
        <f t="shared" si="26"/>
        <v>8.7999999999999972</v>
      </c>
      <c r="I37" s="13">
        <f t="shared" si="29"/>
        <v>44.349361770496003</v>
      </c>
      <c r="J37" s="14">
        <f t="shared" si="41"/>
        <v>15.650638229503997</v>
      </c>
      <c r="K37" s="13">
        <f t="shared" si="30"/>
        <v>51.84912109375</v>
      </c>
      <c r="L37" s="14">
        <f t="shared" si="42"/>
        <v>8.15087890625</v>
      </c>
      <c r="M37" s="13">
        <f t="shared" si="31"/>
        <v>52.944770277376001</v>
      </c>
      <c r="N37" s="14">
        <f t="shared" si="43"/>
        <v>7.0552297226239986</v>
      </c>
      <c r="O37" s="13">
        <f t="shared" si="32"/>
        <v>52.798092705026001</v>
      </c>
      <c r="P37" s="14">
        <f t="shared" si="44"/>
        <v>7.2019072949739993</v>
      </c>
      <c r="Q37" s="13">
        <f t="shared" si="33"/>
        <v>52.887871742248535</v>
      </c>
      <c r="R37" s="14">
        <f t="shared" si="45"/>
        <v>7.1121282577514648</v>
      </c>
      <c r="S37" s="13">
        <f t="shared" si="34"/>
        <v>52.775296586691582</v>
      </c>
      <c r="T37" s="14">
        <f t="shared" si="46"/>
        <v>7.2247034133084185</v>
      </c>
      <c r="U37" s="13">
        <f t="shared" si="35"/>
        <v>52.750672486745245</v>
      </c>
      <c r="V37" s="14">
        <f t="shared" si="47"/>
        <v>7.2493275132547552</v>
      </c>
      <c r="W37" s="13">
        <f t="shared" si="36"/>
        <v>52.66480322848814</v>
      </c>
      <c r="X37" s="14">
        <f t="shared" si="48"/>
        <v>7.3351967715118604</v>
      </c>
      <c r="Y37" s="13">
        <f t="shared" si="37"/>
        <v>52.558553213376797</v>
      </c>
      <c r="Z37" s="14">
        <f t="shared" si="49"/>
        <v>7.441446786623203</v>
      </c>
      <c r="AA37" s="13">
        <f t="shared" si="38"/>
        <v>52.631812297603275</v>
      </c>
      <c r="AB37" s="14">
        <f t="shared" si="50"/>
        <v>7.3681877023967246</v>
      </c>
      <c r="AC37" s="13">
        <f t="shared" si="39"/>
        <v>52.695533719336034</v>
      </c>
      <c r="AD37" s="14">
        <f t="shared" si="51"/>
        <v>7.3044662806639664</v>
      </c>
      <c r="AE37" s="13">
        <f t="shared" si="40"/>
        <v>52.724119961965719</v>
      </c>
      <c r="AF37" s="14">
        <f t="shared" si="52"/>
        <v>7.2758800380342805</v>
      </c>
    </row>
    <row r="38" spans="1:32" x14ac:dyDescent="0.25">
      <c r="A38" s="5">
        <v>15</v>
      </c>
      <c r="B38" s="7">
        <v>64</v>
      </c>
      <c r="C38" s="13">
        <f t="shared" si="53"/>
        <v>59</v>
      </c>
      <c r="D38" s="14">
        <f t="shared" si="54"/>
        <v>5</v>
      </c>
      <c r="E38" s="13">
        <f t="shared" si="27"/>
        <v>56.5</v>
      </c>
      <c r="F38" s="14">
        <f t="shared" si="25"/>
        <v>7.5</v>
      </c>
      <c r="G38" s="13">
        <f t="shared" si="28"/>
        <v>54.6</v>
      </c>
      <c r="H38" s="14">
        <f t="shared" si="26"/>
        <v>9.3999999999999986</v>
      </c>
      <c r="I38" s="13">
        <f t="shared" si="29"/>
        <v>46.079489416396804</v>
      </c>
      <c r="J38" s="14">
        <f t="shared" si="41"/>
        <v>17.920510583603196</v>
      </c>
      <c r="K38" s="13">
        <f t="shared" si="30"/>
        <v>52.424560546875</v>
      </c>
      <c r="L38" s="14">
        <f t="shared" si="42"/>
        <v>11.575439453125</v>
      </c>
      <c r="M38" s="13">
        <f t="shared" si="31"/>
        <v>52.988954055475197</v>
      </c>
      <c r="N38" s="14">
        <f t="shared" si="43"/>
        <v>11.011045944524803</v>
      </c>
      <c r="O38" s="13">
        <f t="shared" si="32"/>
        <v>52.939427811507798</v>
      </c>
      <c r="P38" s="14">
        <f t="shared" si="44"/>
        <v>11.060572188492202</v>
      </c>
      <c r="Q38" s="13">
        <f t="shared" si="33"/>
        <v>52.971967935562134</v>
      </c>
      <c r="R38" s="14">
        <f t="shared" si="45"/>
        <v>11.028032064437866</v>
      </c>
      <c r="S38" s="13">
        <f t="shared" si="34"/>
        <v>52.930341941874389</v>
      </c>
      <c r="T38" s="14">
        <f t="shared" si="46"/>
        <v>11.069658058125611</v>
      </c>
      <c r="U38" s="13">
        <f t="shared" si="35"/>
        <v>52.92021519575848</v>
      </c>
      <c r="V38" s="14">
        <f t="shared" si="47"/>
        <v>11.07978480424152</v>
      </c>
      <c r="W38" s="13">
        <f t="shared" si="36"/>
        <v>52.882681129970848</v>
      </c>
      <c r="X38" s="14">
        <f t="shared" si="48"/>
        <v>11.117318870029152</v>
      </c>
      <c r="Y38" s="13">
        <f t="shared" si="37"/>
        <v>52.832250221083186</v>
      </c>
      <c r="Z38" s="14">
        <f t="shared" si="49"/>
        <v>11.167749778916814</v>
      </c>
      <c r="AA38" s="13">
        <f t="shared" si="38"/>
        <v>52.867452427137181</v>
      </c>
      <c r="AB38" s="14">
        <f t="shared" si="50"/>
        <v>11.132547572862819</v>
      </c>
      <c r="AC38" s="13">
        <f t="shared" si="39"/>
        <v>52.896481464574251</v>
      </c>
      <c r="AD38" s="14">
        <f t="shared" si="51"/>
        <v>11.103518535425749</v>
      </c>
      <c r="AE38" s="13">
        <f t="shared" si="40"/>
        <v>52.908959587448685</v>
      </c>
      <c r="AF38" s="14">
        <f t="shared" si="52"/>
        <v>11.091040412551315</v>
      </c>
    </row>
    <row r="39" spans="1:32" x14ac:dyDescent="0.25">
      <c r="A39" s="5">
        <v>16</v>
      </c>
      <c r="B39" s="7">
        <v>66</v>
      </c>
      <c r="C39" s="13">
        <f t="shared" si="53"/>
        <v>62</v>
      </c>
      <c r="D39" s="14">
        <f t="shared" si="54"/>
        <v>4</v>
      </c>
      <c r="E39" s="13">
        <f>AVERAGE(B35:B38)</f>
        <v>59.25</v>
      </c>
      <c r="F39" s="14">
        <f t="shared" si="25"/>
        <v>6.75</v>
      </c>
      <c r="G39" s="13">
        <f t="shared" si="28"/>
        <v>58</v>
      </c>
      <c r="H39" s="14">
        <f t="shared" si="26"/>
        <v>8</v>
      </c>
      <c r="I39" s="13">
        <f t="shared" si="29"/>
        <v>47.463591533117444</v>
      </c>
      <c r="J39" s="14">
        <f t="shared" si="41"/>
        <v>18.536408466882556</v>
      </c>
      <c r="K39" s="13">
        <f t="shared" si="30"/>
        <v>52.7122802734375</v>
      </c>
      <c r="L39" s="14">
        <f t="shared" si="42"/>
        <v>13.2877197265625</v>
      </c>
      <c r="M39" s="13">
        <f t="shared" si="31"/>
        <v>52.997790811095037</v>
      </c>
      <c r="N39" s="14">
        <f t="shared" si="43"/>
        <v>13.002209188904963</v>
      </c>
      <c r="O39" s="13">
        <f t="shared" si="32"/>
        <v>52.981828343452342</v>
      </c>
      <c r="P39" s="14">
        <f t="shared" si="44"/>
        <v>13.018171656547658</v>
      </c>
      <c r="Q39" s="13">
        <f t="shared" si="33"/>
        <v>52.992991983890533</v>
      </c>
      <c r="R39" s="14">
        <f t="shared" si="45"/>
        <v>13.007008016109467</v>
      </c>
      <c r="S39" s="13">
        <f t="shared" si="34"/>
        <v>52.978406001981064</v>
      </c>
      <c r="T39" s="14">
        <f t="shared" si="46"/>
        <v>13.021593998018936</v>
      </c>
      <c r="U39" s="13">
        <f t="shared" si="35"/>
        <v>52.974468862642716</v>
      </c>
      <c r="V39" s="14">
        <f t="shared" si="47"/>
        <v>13.025531137357284</v>
      </c>
      <c r="W39" s="13">
        <f t="shared" si="36"/>
        <v>52.958938395489795</v>
      </c>
      <c r="X39" s="14">
        <f t="shared" si="48"/>
        <v>13.041061604510205</v>
      </c>
      <c r="Y39" s="13">
        <f t="shared" si="37"/>
        <v>52.936255084011613</v>
      </c>
      <c r="Z39" s="14">
        <f t="shared" si="49"/>
        <v>13.063744915988387</v>
      </c>
      <c r="AA39" s="13">
        <f t="shared" si="38"/>
        <v>52.952282873769384</v>
      </c>
      <c r="AB39" s="14">
        <f t="shared" si="50"/>
        <v>13.047717126230616</v>
      </c>
      <c r="AC39" s="13">
        <f t="shared" si="39"/>
        <v>52.964803697955247</v>
      </c>
      <c r="AD39" s="14">
        <f t="shared" si="51"/>
        <v>13.035196302044753</v>
      </c>
      <c r="AE39" s="13">
        <f t="shared" si="40"/>
        <v>52.969956663858063</v>
      </c>
      <c r="AF39" s="14">
        <f t="shared" si="52"/>
        <v>13.030043336141937</v>
      </c>
    </row>
    <row r="40" spans="1:32" x14ac:dyDescent="0.25">
      <c r="A40" s="5">
        <v>17</v>
      </c>
      <c r="B40" s="7">
        <v>69</v>
      </c>
      <c r="C40" s="13">
        <f t="shared" si="53"/>
        <v>65</v>
      </c>
      <c r="D40" s="14">
        <f t="shared" si="54"/>
        <v>4</v>
      </c>
      <c r="E40" s="13">
        <f>AVERAGE(B36:B39)</f>
        <v>62</v>
      </c>
      <c r="F40" s="14">
        <f t="shared" si="25"/>
        <v>7</v>
      </c>
      <c r="G40" s="13">
        <f>AVERAGE(B35:B39)</f>
        <v>60.6</v>
      </c>
      <c r="H40" s="14">
        <f t="shared" si="26"/>
        <v>8.3999999999999986</v>
      </c>
      <c r="I40" s="13">
        <f t="shared" si="29"/>
        <v>48.570873226493958</v>
      </c>
      <c r="J40" s="14">
        <f t="shared" si="41"/>
        <v>20.429126773506042</v>
      </c>
      <c r="K40" s="13">
        <f t="shared" si="30"/>
        <v>52.85614013671875</v>
      </c>
      <c r="L40" s="14">
        <f t="shared" si="42"/>
        <v>16.14385986328125</v>
      </c>
      <c r="M40" s="13">
        <f t="shared" si="31"/>
        <v>52.99955816221901</v>
      </c>
      <c r="N40" s="14">
        <f t="shared" si="43"/>
        <v>16.00044183778099</v>
      </c>
      <c r="O40" s="13">
        <f t="shared" si="32"/>
        <v>52.994548503035702</v>
      </c>
      <c r="P40" s="14">
        <f t="shared" si="44"/>
        <v>16.005451496964298</v>
      </c>
      <c r="Q40" s="13">
        <f t="shared" si="33"/>
        <v>52.998247995972633</v>
      </c>
      <c r="R40" s="14">
        <f t="shared" si="45"/>
        <v>16.001752004027367</v>
      </c>
      <c r="S40" s="13">
        <f t="shared" si="34"/>
        <v>52.993305860614129</v>
      </c>
      <c r="T40" s="14">
        <f t="shared" si="46"/>
        <v>16.006694139385871</v>
      </c>
      <c r="U40" s="13">
        <f t="shared" si="35"/>
        <v>52.99183003604567</v>
      </c>
      <c r="V40" s="14">
        <f t="shared" si="47"/>
        <v>16.00816996395433</v>
      </c>
      <c r="W40" s="13">
        <f t="shared" si="36"/>
        <v>52.985628438421429</v>
      </c>
      <c r="X40" s="14">
        <f t="shared" si="48"/>
        <v>16.014371561578571</v>
      </c>
      <c r="Y40" s="13">
        <f t="shared" si="37"/>
        <v>52.975776931924415</v>
      </c>
      <c r="Z40" s="14">
        <f t="shared" si="49"/>
        <v>16.024223068075585</v>
      </c>
      <c r="AA40" s="13">
        <f t="shared" si="38"/>
        <v>52.982821834556979</v>
      </c>
      <c r="AB40" s="14">
        <f t="shared" si="50"/>
        <v>16.017178165443021</v>
      </c>
      <c r="AC40" s="13">
        <f t="shared" si="39"/>
        <v>52.988033257304785</v>
      </c>
      <c r="AD40" s="14">
        <f t="shared" si="51"/>
        <v>16.011966742695215</v>
      </c>
      <c r="AE40" s="13">
        <f t="shared" si="40"/>
        <v>52.990085699073163</v>
      </c>
      <c r="AF40" s="14">
        <f t="shared" si="52"/>
        <v>16.009914300926837</v>
      </c>
    </row>
    <row r="41" spans="1:32" x14ac:dyDescent="0.25">
      <c r="A41" s="5">
        <v>18</v>
      </c>
      <c r="B41" s="7">
        <v>72</v>
      </c>
      <c r="C41" s="13">
        <f t="shared" si="53"/>
        <v>67.5</v>
      </c>
      <c r="D41" s="14">
        <f t="shared" si="54"/>
        <v>4.5</v>
      </c>
      <c r="E41" s="13">
        <f>AVERAGE(B37:B40)</f>
        <v>64.75</v>
      </c>
      <c r="F41" s="14">
        <f t="shared" si="25"/>
        <v>7.25</v>
      </c>
      <c r="G41" s="13">
        <f>AVERAGE(B36:B40)</f>
        <v>63.4</v>
      </c>
      <c r="H41" s="14">
        <f t="shared" si="26"/>
        <v>8.6000000000000014</v>
      </c>
      <c r="I41" s="13">
        <f t="shared" si="29"/>
        <v>49.45669858119517</v>
      </c>
      <c r="J41" s="14">
        <f t="shared" si="41"/>
        <v>22.54330141880483</v>
      </c>
      <c r="K41" s="13">
        <f t="shared" si="30"/>
        <v>52.928070068359375</v>
      </c>
      <c r="L41" s="14">
        <f t="shared" si="42"/>
        <v>19.071929931640625</v>
      </c>
      <c r="M41" s="13">
        <f t="shared" si="31"/>
        <v>52.999911632443805</v>
      </c>
      <c r="N41" s="14">
        <f t="shared" si="43"/>
        <v>19.000088367556195</v>
      </c>
      <c r="O41" s="13">
        <f t="shared" si="32"/>
        <v>52.998364550910708</v>
      </c>
      <c r="P41" s="14">
        <f t="shared" si="44"/>
        <v>19.001635449089292</v>
      </c>
      <c r="Q41" s="13">
        <f t="shared" si="33"/>
        <v>52.999561998993158</v>
      </c>
      <c r="R41" s="14">
        <f t="shared" si="45"/>
        <v>19.000438001006842</v>
      </c>
      <c r="S41" s="13">
        <f t="shared" si="34"/>
        <v>52.99792481679038</v>
      </c>
      <c r="T41" s="14">
        <f t="shared" si="46"/>
        <v>19.00207518320962</v>
      </c>
      <c r="U41" s="13">
        <f t="shared" si="35"/>
        <v>52.997385611534611</v>
      </c>
      <c r="V41" s="14">
        <f t="shared" si="47"/>
        <v>19.002614388465389</v>
      </c>
      <c r="W41" s="13">
        <f t="shared" si="36"/>
        <v>52.994969953447502</v>
      </c>
      <c r="X41" s="14">
        <f t="shared" si="48"/>
        <v>19.005030046552498</v>
      </c>
      <c r="Y41" s="13">
        <f t="shared" si="37"/>
        <v>52.990795234131276</v>
      </c>
      <c r="Z41" s="14">
        <f t="shared" si="49"/>
        <v>19.009204765868724</v>
      </c>
      <c r="AA41" s="13">
        <f t="shared" si="38"/>
        <v>52.993815860440513</v>
      </c>
      <c r="AB41" s="14">
        <f t="shared" si="50"/>
        <v>19.006184139559487</v>
      </c>
      <c r="AC41" s="13">
        <f t="shared" si="39"/>
        <v>52.99593130748363</v>
      </c>
      <c r="AD41" s="14">
        <f t="shared" si="51"/>
        <v>19.00406869251637</v>
      </c>
      <c r="AE41" s="13">
        <f t="shared" si="40"/>
        <v>52.996728280694143</v>
      </c>
      <c r="AF41" s="14">
        <f t="shared" si="52"/>
        <v>19.003271719305857</v>
      </c>
    </row>
    <row r="42" spans="1:32" x14ac:dyDescent="0.25">
      <c r="A42" s="5">
        <v>19</v>
      </c>
      <c r="B42" s="7">
        <v>75</v>
      </c>
      <c r="C42" s="13">
        <f t="shared" si="53"/>
        <v>70.5</v>
      </c>
      <c r="D42" s="14">
        <f t="shared" si="54"/>
        <v>4.5</v>
      </c>
      <c r="E42" s="13">
        <f>AVERAGE(B38:B41)</f>
        <v>67.75</v>
      </c>
      <c r="F42" s="14">
        <f t="shared" si="25"/>
        <v>7.25</v>
      </c>
      <c r="G42" s="13">
        <f>AVERAGE(B37:B41)</f>
        <v>66.2</v>
      </c>
      <c r="H42" s="14">
        <f t="shared" si="26"/>
        <v>8.7999999999999972</v>
      </c>
      <c r="I42" s="13">
        <f t="shared" si="29"/>
        <v>50.165358864956133</v>
      </c>
      <c r="J42" s="14">
        <f t="shared" si="41"/>
        <v>24.834641135043867</v>
      </c>
      <c r="K42" s="13">
        <f t="shared" si="30"/>
        <v>52.964035034179688</v>
      </c>
      <c r="L42" s="14">
        <f t="shared" si="42"/>
        <v>22.035964965820313</v>
      </c>
      <c r="M42" s="13">
        <f t="shared" si="31"/>
        <v>52.999982326488762</v>
      </c>
      <c r="N42" s="14">
        <f t="shared" si="43"/>
        <v>22.000017673511238</v>
      </c>
      <c r="O42" s="13">
        <f t="shared" si="32"/>
        <v>52.999509365273212</v>
      </c>
      <c r="P42" s="14">
        <f t="shared" si="44"/>
        <v>22.000490634726788</v>
      </c>
      <c r="Q42" s="13">
        <f t="shared" si="33"/>
        <v>52.99989049974829</v>
      </c>
      <c r="R42" s="14">
        <f t="shared" si="45"/>
        <v>22.00010950025171</v>
      </c>
      <c r="S42" s="13">
        <f t="shared" si="34"/>
        <v>52.999356693205016</v>
      </c>
      <c r="T42" s="14">
        <f t="shared" si="46"/>
        <v>22.000643306794984</v>
      </c>
      <c r="U42" s="13">
        <f t="shared" si="35"/>
        <v>52.999163395691077</v>
      </c>
      <c r="V42" s="14">
        <f t="shared" si="47"/>
        <v>22.000836604308923</v>
      </c>
      <c r="W42" s="13">
        <f t="shared" si="36"/>
        <v>52.998239483706627</v>
      </c>
      <c r="X42" s="14">
        <f t="shared" si="48"/>
        <v>22.001760516293373</v>
      </c>
      <c r="Y42" s="13">
        <f t="shared" si="37"/>
        <v>52.996502188969885</v>
      </c>
      <c r="Z42" s="14">
        <f t="shared" si="49"/>
        <v>22.003497811030115</v>
      </c>
      <c r="AA42" s="13">
        <f t="shared" si="38"/>
        <v>52.997773709758583</v>
      </c>
      <c r="AB42" s="14">
        <f t="shared" si="50"/>
        <v>22.002226290241417</v>
      </c>
      <c r="AC42" s="13">
        <f t="shared" si="39"/>
        <v>52.998616644544434</v>
      </c>
      <c r="AD42" s="14">
        <f t="shared" si="51"/>
        <v>22.001383355455566</v>
      </c>
      <c r="AE42" s="13">
        <f t="shared" si="40"/>
        <v>52.998920332629069</v>
      </c>
      <c r="AF42" s="14">
        <f t="shared" si="52"/>
        <v>22.001079667370931</v>
      </c>
    </row>
    <row r="43" spans="1:32" ht="15.75" thickBot="1" x14ac:dyDescent="0.3">
      <c r="A43" s="6">
        <v>20</v>
      </c>
      <c r="B43" s="9">
        <v>79</v>
      </c>
      <c r="C43" s="13">
        <f t="shared" si="53"/>
        <v>73.5</v>
      </c>
      <c r="D43" s="14">
        <f t="shared" si="54"/>
        <v>5.5</v>
      </c>
      <c r="E43" s="13">
        <f>AVERAGE(B39:B42)</f>
        <v>70.5</v>
      </c>
      <c r="F43" s="14">
        <f t="shared" si="25"/>
        <v>8.5</v>
      </c>
      <c r="G43" s="13">
        <f>AVERAGE(B38:B42)</f>
        <v>69.2</v>
      </c>
      <c r="H43" s="14">
        <f t="shared" si="26"/>
        <v>9.7999999999999972</v>
      </c>
      <c r="I43" s="13">
        <f t="shared" si="29"/>
        <v>50.732287091964906</v>
      </c>
      <c r="J43" s="14">
        <f t="shared" si="41"/>
        <v>28.267712908035094</v>
      </c>
      <c r="K43" s="13">
        <f t="shared" si="30"/>
        <v>52.982017517089844</v>
      </c>
      <c r="L43" s="14">
        <f t="shared" si="42"/>
        <v>26.017982482910156</v>
      </c>
      <c r="M43" s="13">
        <f t="shared" si="31"/>
        <v>52.999996465297755</v>
      </c>
      <c r="N43" s="14">
        <f t="shared" si="43"/>
        <v>26.000003534702245</v>
      </c>
      <c r="O43" s="13">
        <f t="shared" si="32"/>
        <v>52.999852809581967</v>
      </c>
      <c r="P43" s="14">
        <f t="shared" si="44"/>
        <v>26.000147190418033</v>
      </c>
      <c r="Q43" s="13">
        <f t="shared" si="33"/>
        <v>52.999972624937072</v>
      </c>
      <c r="R43" s="14">
        <f t="shared" si="45"/>
        <v>26.000027375062928</v>
      </c>
      <c r="S43" s="13">
        <f t="shared" si="34"/>
        <v>52.999800574893555</v>
      </c>
      <c r="T43" s="14">
        <f t="shared" si="46"/>
        <v>26.000199425106445</v>
      </c>
      <c r="U43" s="13">
        <f t="shared" si="35"/>
        <v>52.999732286621146</v>
      </c>
      <c r="V43" s="14">
        <f t="shared" si="47"/>
        <v>26.000267713378854</v>
      </c>
      <c r="W43" s="13">
        <f t="shared" si="36"/>
        <v>52.999383819297321</v>
      </c>
      <c r="X43" s="14">
        <f t="shared" si="48"/>
        <v>26.000616180702679</v>
      </c>
      <c r="Y43" s="13">
        <f t="shared" si="37"/>
        <v>52.998670831808553</v>
      </c>
      <c r="Z43" s="14">
        <f t="shared" si="49"/>
        <v>26.001329168191447</v>
      </c>
      <c r="AA43" s="13">
        <f t="shared" si="38"/>
        <v>52.999198535513088</v>
      </c>
      <c r="AB43" s="14">
        <f t="shared" si="50"/>
        <v>26.000801464486912</v>
      </c>
      <c r="AC43" s="13">
        <f t="shared" si="39"/>
        <v>52.999529659145111</v>
      </c>
      <c r="AD43" s="14">
        <f t="shared" si="51"/>
        <v>26.000470340854889</v>
      </c>
      <c r="AE43" s="13">
        <f t="shared" si="40"/>
        <v>52.999643709767589</v>
      </c>
      <c r="AF43" s="14">
        <f t="shared" si="52"/>
        <v>26.000356290232411</v>
      </c>
    </row>
    <row r="44" spans="1:32" ht="15.75" thickBot="1" x14ac:dyDescent="0.3">
      <c r="A44" s="306" t="s">
        <v>91</v>
      </c>
      <c r="B44" s="307"/>
      <c r="C44" s="310">
        <f>AVERAGE(D25:D33)</f>
        <v>4.6875</v>
      </c>
      <c r="D44" s="311"/>
      <c r="E44" s="304">
        <f>AVERAGE(F27:F33)</f>
        <v>8.0416666666666661</v>
      </c>
      <c r="F44" s="305"/>
      <c r="G44" s="304">
        <f>AVERAGE(H28:H33)</f>
        <v>6.28</v>
      </c>
      <c r="H44" s="305"/>
      <c r="I44" s="304">
        <f>AVERAGE(J25:J33)</f>
        <v>10.057901226666665</v>
      </c>
      <c r="J44" s="305"/>
      <c r="K44" s="304">
        <f>AVERAGE(L25:L33)</f>
        <v>5.731770833333333</v>
      </c>
      <c r="L44" s="305"/>
      <c r="M44" s="304">
        <f>AVERAGE(N25:N33)</f>
        <v>3.90226176</v>
      </c>
      <c r="N44" s="305"/>
      <c r="O44" s="304">
        <f>AVERAGE(P25:P33)</f>
        <v>4.3685638155555555</v>
      </c>
      <c r="P44" s="305"/>
      <c r="Q44" s="304">
        <f>AVERAGE(R25:R33)</f>
        <v>4.1220431857638893</v>
      </c>
      <c r="R44" s="305"/>
      <c r="S44" s="304">
        <f>AVERAGE(T25:T33)</f>
        <v>4.4214716615479723</v>
      </c>
      <c r="T44" s="305"/>
      <c r="U44" s="304">
        <f>AVERAGE(V25:V33)</f>
        <v>4.4756745319503199</v>
      </c>
      <c r="V44" s="305"/>
      <c r="W44" s="304">
        <f>AVERAGE(X25:X33)</f>
        <v>4.6464956407291673</v>
      </c>
      <c r="X44" s="305"/>
      <c r="Y44" s="304">
        <f>AVERAGE(Z25:Z33)</f>
        <v>4.8306401100325385</v>
      </c>
      <c r="Z44" s="305"/>
      <c r="AA44" s="304">
        <f>AVERAGE(AB25:AB33)</f>
        <v>4.7063298158748559</v>
      </c>
      <c r="AB44" s="305"/>
      <c r="AC44" s="304">
        <f>AVERAGE(AD25:AD33)</f>
        <v>4.588140545046226</v>
      </c>
      <c r="AD44" s="305"/>
      <c r="AE44" s="304">
        <f>AVERAGE(AF25:AF33)</f>
        <v>4.531215798486298</v>
      </c>
      <c r="AF44" s="305"/>
    </row>
    <row r="45" spans="1:32" ht="15.75" thickBot="1" x14ac:dyDescent="0.3">
      <c r="A45" s="306" t="s">
        <v>92</v>
      </c>
      <c r="B45" s="307"/>
      <c r="C45" s="310">
        <f>AVERAGE(D35:D43)</f>
        <v>4.4444444444444446</v>
      </c>
      <c r="D45" s="311"/>
      <c r="E45" s="304">
        <f>AVERAGE(F35:F43)</f>
        <v>7.6111111111111107</v>
      </c>
      <c r="F45" s="305"/>
      <c r="G45" s="304">
        <f>AVERAGE(H35:H43)</f>
        <v>9.155555555555555</v>
      </c>
      <c r="H45" s="305"/>
      <c r="I45" s="304">
        <f>AVERAGE(J35:J43)</f>
        <v>19.94580661509551</v>
      </c>
      <c r="J45" s="305"/>
      <c r="K45" s="304">
        <f>AVERAGE(L35:L43)</f>
        <v>14.465449863009983</v>
      </c>
      <c r="L45" s="305"/>
      <c r="M45" s="304">
        <f>AVERAGE(N35:N43)</f>
        <v>13.636214216480493</v>
      </c>
      <c r="N45" s="305"/>
      <c r="O45" s="304">
        <f>AVERAGE(P35:P43)</f>
        <v>13.800534957376918</v>
      </c>
      <c r="P45" s="305"/>
      <c r="Q45" s="304">
        <f>AVERAGE(R35:R43)</f>
        <v>13.710228930408549</v>
      </c>
      <c r="R45" s="305"/>
      <c r="S45" s="304">
        <f>AVERAGE(T35:T43)</f>
        <v>13.820960238739291</v>
      </c>
      <c r="T45" s="305"/>
      <c r="U45" s="304">
        <f>AVERAGE(V35:V43)</f>
        <v>13.842279955612295</v>
      </c>
      <c r="V45" s="305"/>
      <c r="W45" s="304">
        <f>AVERAGE(X35:X43)</f>
        <v>13.912151198694202</v>
      </c>
      <c r="X45" s="305"/>
      <c r="Y45" s="304">
        <f>AVERAGE(Z35:Z43)</f>
        <v>13.992223230604704</v>
      </c>
      <c r="Z45" s="305"/>
      <c r="AA45" s="304">
        <f>AVERAGE(AB35:AB43)</f>
        <v>13.937615619199065</v>
      </c>
      <c r="AB45" s="305"/>
      <c r="AC45" s="304">
        <f>AVERAGE(AD35:AD43)</f>
        <v>13.887816740628615</v>
      </c>
      <c r="AD45" s="305"/>
      <c r="AE45" s="304">
        <f>AVERAGE(AF35:AF43)</f>
        <v>13.864546618045674</v>
      </c>
      <c r="AF45" s="305"/>
    </row>
    <row r="46" spans="1:32" ht="15.75" thickBot="1" x14ac:dyDescent="0.3">
      <c r="A46" s="306" t="s">
        <v>86</v>
      </c>
      <c r="B46" s="307"/>
      <c r="C46" s="310">
        <f>AVERAGE(D24:D43)</f>
        <v>4.75</v>
      </c>
      <c r="D46" s="311"/>
      <c r="E46" s="304">
        <f>AVERAGE(F24:F43)</f>
        <v>7.953125</v>
      </c>
      <c r="F46" s="305"/>
      <c r="G46" s="304">
        <f>AVERAGE(H24:H43)</f>
        <v>8.3866666666666649</v>
      </c>
      <c r="H46" s="305"/>
      <c r="I46" s="304">
        <f>AVERAGE(J24:J43)</f>
        <v>15.101534124624191</v>
      </c>
      <c r="J46" s="305"/>
      <c r="K46" s="304">
        <f>AVERAGE(L24:L43)</f>
        <v>10.051685132478413</v>
      </c>
      <c r="L46" s="305"/>
      <c r="M46" s="304">
        <f>AVERAGE(N24:N43)</f>
        <v>8.6710525850697078</v>
      </c>
      <c r="N46" s="305"/>
      <c r="O46" s="304">
        <f>AVERAGE(P24:P43)</f>
        <v>8.9999966799153821</v>
      </c>
      <c r="P46" s="305"/>
      <c r="Q46" s="304">
        <f>AVERAGE(R24:R43)</f>
        <v>8.8245609232445101</v>
      </c>
      <c r="R46" s="305"/>
      <c r="S46" s="304">
        <f>AVERAGE(T24:T43)</f>
        <v>9.0381341097038153</v>
      </c>
      <c r="T46" s="305"/>
      <c r="U46" s="304">
        <f>AVERAGE(V24:V43)</f>
        <v>9.0773927501330309</v>
      </c>
      <c r="V46" s="305"/>
      <c r="W46" s="304">
        <f>AVERAGE(X24:X43)</f>
        <v>9.2024116871865651</v>
      </c>
      <c r="X46" s="305"/>
      <c r="Y46" s="304">
        <f>AVERAGE(Z24:Z43)</f>
        <v>9.3395156974607172</v>
      </c>
      <c r="Z46" s="305"/>
      <c r="AA46" s="304">
        <f>AVERAGE(AB24:AB43)</f>
        <v>9.246686798748744</v>
      </c>
      <c r="AB46" s="305"/>
      <c r="AC46" s="304">
        <f>AVERAGE(AD24:AD43)</f>
        <v>9.1594768807104732</v>
      </c>
      <c r="AD46" s="305"/>
      <c r="AE46" s="304">
        <f>AVERAGE(AF24:AF43)</f>
        <v>9.117822657048178</v>
      </c>
      <c r="AF46" s="305"/>
    </row>
    <row r="47" spans="1:32" ht="15.75" thickBot="1" x14ac:dyDescent="0.3"/>
    <row r="48" spans="1:32" ht="15.75" thickBot="1" x14ac:dyDescent="0.3">
      <c r="A48" s="312" t="s">
        <v>63</v>
      </c>
      <c r="B48" s="313"/>
      <c r="C48" s="313"/>
      <c r="D48" s="313"/>
      <c r="E48" s="313"/>
      <c r="F48" s="313"/>
      <c r="G48" s="313"/>
      <c r="H48" s="313"/>
      <c r="I48" s="314"/>
    </row>
    <row r="49" spans="1:9" ht="15.75" thickBot="1" x14ac:dyDescent="0.3">
      <c r="A49" s="11"/>
      <c r="B49" s="7"/>
      <c r="C49" s="7"/>
      <c r="D49" s="7"/>
      <c r="E49" s="7"/>
      <c r="F49" s="7"/>
      <c r="G49" s="7"/>
      <c r="H49" s="7"/>
      <c r="I49" s="8"/>
    </row>
    <row r="50" spans="1:9" x14ac:dyDescent="0.25">
      <c r="A50" s="133" t="s">
        <v>9</v>
      </c>
      <c r="B50" s="18"/>
      <c r="C50" s="7"/>
      <c r="D50" s="7"/>
      <c r="E50" s="7"/>
      <c r="F50" s="7"/>
      <c r="G50" s="7"/>
      <c r="H50" s="7"/>
      <c r="I50" s="8"/>
    </row>
    <row r="51" spans="1:9" x14ac:dyDescent="0.25">
      <c r="A51" s="134" t="s">
        <v>10</v>
      </c>
      <c r="B51" s="19">
        <v>0.99872439634354326</v>
      </c>
      <c r="C51" s="7"/>
      <c r="D51" s="7"/>
      <c r="E51" s="7"/>
      <c r="F51" s="7"/>
      <c r="G51" s="7"/>
      <c r="H51" s="7"/>
      <c r="I51" s="8"/>
    </row>
    <row r="52" spans="1:9" x14ac:dyDescent="0.25">
      <c r="A52" s="134" t="s">
        <v>11</v>
      </c>
      <c r="B52" s="19">
        <v>0.99745041985177485</v>
      </c>
      <c r="C52" s="7"/>
      <c r="D52" s="7"/>
      <c r="E52" s="7"/>
      <c r="F52" s="7"/>
      <c r="G52" s="7"/>
      <c r="H52" s="7"/>
      <c r="I52" s="8"/>
    </row>
    <row r="53" spans="1:9" x14ac:dyDescent="0.25">
      <c r="A53" s="134" t="s">
        <v>12</v>
      </c>
      <c r="B53" s="19">
        <v>0.99730877651020677</v>
      </c>
      <c r="C53" s="7"/>
      <c r="D53" s="7"/>
      <c r="E53" s="7"/>
      <c r="F53" s="7"/>
      <c r="G53" s="7"/>
      <c r="H53" s="7"/>
      <c r="I53" s="8"/>
    </row>
    <row r="54" spans="1:9" x14ac:dyDescent="0.25">
      <c r="A54" s="134" t="s">
        <v>13</v>
      </c>
      <c r="B54" s="19">
        <v>0.97504364446154224</v>
      </c>
      <c r="C54" s="7"/>
      <c r="D54" s="7"/>
      <c r="E54" s="7"/>
      <c r="F54" s="7"/>
      <c r="G54" s="7"/>
      <c r="H54" s="7"/>
      <c r="I54" s="8"/>
    </row>
    <row r="55" spans="1:9" ht="15.75" thickBot="1" x14ac:dyDescent="0.3">
      <c r="A55" s="135" t="s">
        <v>14</v>
      </c>
      <c r="B55" s="20">
        <v>20</v>
      </c>
      <c r="C55" s="7"/>
      <c r="D55" s="7"/>
      <c r="E55" s="7"/>
      <c r="F55" s="7"/>
      <c r="G55" s="7"/>
      <c r="H55" s="7"/>
      <c r="I55" s="8"/>
    </row>
    <row r="56" spans="1:9" x14ac:dyDescent="0.25">
      <c r="A56" s="11"/>
      <c r="B56" s="7"/>
      <c r="C56" s="7"/>
      <c r="D56" s="7"/>
      <c r="E56" s="7"/>
      <c r="F56" s="7"/>
      <c r="G56" s="7"/>
      <c r="H56" s="7"/>
      <c r="I56" s="8"/>
    </row>
    <row r="57" spans="1:9" ht="15.75" thickBot="1" x14ac:dyDescent="0.3">
      <c r="A57" s="11" t="s">
        <v>15</v>
      </c>
      <c r="B57" s="7"/>
      <c r="C57" s="7"/>
      <c r="D57" s="7"/>
      <c r="E57" s="7"/>
      <c r="F57" s="7"/>
      <c r="G57" s="7"/>
      <c r="H57" s="7"/>
      <c r="I57" s="8"/>
    </row>
    <row r="58" spans="1:9" x14ac:dyDescent="0.25">
      <c r="A58" s="136"/>
      <c r="B58" s="21" t="s">
        <v>20</v>
      </c>
      <c r="C58" s="21" t="s">
        <v>21</v>
      </c>
      <c r="D58" s="21" t="s">
        <v>22</v>
      </c>
      <c r="E58" s="21" t="s">
        <v>23</v>
      </c>
      <c r="F58" s="21" t="s">
        <v>24</v>
      </c>
      <c r="G58" s="7"/>
      <c r="H58" s="7"/>
      <c r="I58" s="8"/>
    </row>
    <row r="59" spans="1:9" x14ac:dyDescent="0.25">
      <c r="A59" s="134" t="s">
        <v>16</v>
      </c>
      <c r="B59" s="19">
        <v>1</v>
      </c>
      <c r="C59" s="19">
        <v>6694.8872180451126</v>
      </c>
      <c r="D59" s="19">
        <v>6694.8872180451126</v>
      </c>
      <c r="E59" s="19">
        <v>7041.9859402460388</v>
      </c>
      <c r="F59" s="19">
        <v>8.4526308996077528E-25</v>
      </c>
      <c r="G59" s="7"/>
      <c r="H59" s="7"/>
      <c r="I59" s="8"/>
    </row>
    <row r="60" spans="1:9" x14ac:dyDescent="0.25">
      <c r="A60" s="134" t="s">
        <v>17</v>
      </c>
      <c r="B60" s="19">
        <v>18</v>
      </c>
      <c r="C60" s="19">
        <v>17.112781954887236</v>
      </c>
      <c r="D60" s="19">
        <v>0.95071010860484639</v>
      </c>
      <c r="E60" s="19"/>
      <c r="F60" s="19"/>
      <c r="G60" s="7"/>
      <c r="H60" s="7"/>
      <c r="I60" s="8"/>
    </row>
    <row r="61" spans="1:9" ht="15.75" thickBot="1" x14ac:dyDescent="0.3">
      <c r="A61" s="135" t="s">
        <v>18</v>
      </c>
      <c r="B61" s="20">
        <v>19</v>
      </c>
      <c r="C61" s="20">
        <v>6712</v>
      </c>
      <c r="D61" s="20"/>
      <c r="E61" s="20"/>
      <c r="F61" s="20"/>
      <c r="G61" s="7"/>
      <c r="H61" s="7"/>
      <c r="I61" s="8"/>
    </row>
    <row r="62" spans="1:9" ht="15.75" thickBot="1" x14ac:dyDescent="0.3">
      <c r="A62" s="11"/>
      <c r="B62" s="7"/>
      <c r="C62" s="7"/>
      <c r="D62" s="7"/>
      <c r="E62" s="7"/>
      <c r="F62" s="7"/>
      <c r="G62" s="7"/>
      <c r="H62" s="7"/>
      <c r="I62" s="8"/>
    </row>
    <row r="63" spans="1:9" x14ac:dyDescent="0.25">
      <c r="A63" s="136"/>
      <c r="B63" s="21" t="s">
        <v>25</v>
      </c>
      <c r="C63" s="21" t="s">
        <v>13</v>
      </c>
      <c r="D63" s="21" t="s">
        <v>26</v>
      </c>
      <c r="E63" s="21" t="s">
        <v>27</v>
      </c>
      <c r="F63" s="21" t="s">
        <v>28</v>
      </c>
      <c r="G63" s="21" t="s">
        <v>29</v>
      </c>
      <c r="H63" s="21" t="s">
        <v>30</v>
      </c>
      <c r="I63" s="137" t="s">
        <v>31</v>
      </c>
    </row>
    <row r="64" spans="1:9" x14ac:dyDescent="0.25">
      <c r="A64" s="134" t="s">
        <v>19</v>
      </c>
      <c r="B64" s="19">
        <v>15.684210526315788</v>
      </c>
      <c r="C64" s="19">
        <v>0.45293844389949767</v>
      </c>
      <c r="D64" s="19">
        <v>34.627686692445899</v>
      </c>
      <c r="E64" s="19">
        <v>6.3208597464786759E-18</v>
      </c>
      <c r="F64" s="19">
        <v>14.732622166654854</v>
      </c>
      <c r="G64" s="19">
        <v>16.635798885976723</v>
      </c>
      <c r="H64" s="19">
        <v>14.732622166654854</v>
      </c>
      <c r="I64" s="138">
        <v>16.635798885976723</v>
      </c>
    </row>
    <row r="65" spans="1:11" ht="15.75" thickBot="1" x14ac:dyDescent="0.3">
      <c r="A65" s="135" t="s">
        <v>32</v>
      </c>
      <c r="B65" s="20">
        <v>3.1729323308270678</v>
      </c>
      <c r="C65" s="20">
        <v>3.7810570758187709E-2</v>
      </c>
      <c r="D65" s="20">
        <v>83.916541517426936</v>
      </c>
      <c r="E65" s="20">
        <v>8.4526308996077528E-25</v>
      </c>
      <c r="F65" s="20">
        <v>3.0934952693670978</v>
      </c>
      <c r="G65" s="20">
        <v>3.2523693922870378</v>
      </c>
      <c r="H65" s="20">
        <v>3.0934952693670978</v>
      </c>
      <c r="I65" s="139">
        <v>3.2523693922870378</v>
      </c>
    </row>
    <row r="69" spans="1:11" x14ac:dyDescent="0.25">
      <c r="A69" s="1" t="s">
        <v>35</v>
      </c>
      <c r="E69" s="1" t="s">
        <v>39</v>
      </c>
    </row>
    <row r="70" spans="1:11" ht="15.75" thickBot="1" x14ac:dyDescent="0.3"/>
    <row r="71" spans="1:11" ht="15.75" thickBot="1" x14ac:dyDescent="0.3">
      <c r="A71" s="21" t="s">
        <v>36</v>
      </c>
      <c r="B71" s="21" t="s">
        <v>37</v>
      </c>
      <c r="C71" s="21" t="s">
        <v>38</v>
      </c>
      <c r="E71" s="21" t="s">
        <v>40</v>
      </c>
      <c r="F71" s="21" t="s">
        <v>41</v>
      </c>
      <c r="H71" s="60" t="s">
        <v>0</v>
      </c>
      <c r="I71" s="60" t="s">
        <v>4</v>
      </c>
      <c r="J71" s="60" t="s">
        <v>42</v>
      </c>
      <c r="K71" s="60" t="s">
        <v>57</v>
      </c>
    </row>
    <row r="72" spans="1:11" x14ac:dyDescent="0.25">
      <c r="A72" s="19">
        <v>1</v>
      </c>
      <c r="B72" s="19">
        <v>18.857142857142854</v>
      </c>
      <c r="C72" s="19">
        <v>-0.8571428571428541</v>
      </c>
      <c r="E72" s="19">
        <v>2.5</v>
      </c>
      <c r="F72" s="19">
        <v>18</v>
      </c>
      <c r="H72" s="5">
        <v>1</v>
      </c>
      <c r="I72" s="11">
        <v>18</v>
      </c>
      <c r="J72" s="31">
        <f t="shared" ref="J72:J91" si="55">$B$64+($B$65*H72)</f>
        <v>18.857142857142854</v>
      </c>
      <c r="K72" s="41">
        <f>ABS(I72-J72)</f>
        <v>0.8571428571428541</v>
      </c>
    </row>
    <row r="73" spans="1:11" x14ac:dyDescent="0.25">
      <c r="A73" s="19">
        <v>2</v>
      </c>
      <c r="B73" s="19">
        <v>22.030075187969924</v>
      </c>
      <c r="C73" s="19">
        <v>-3.0075187969924144E-2</v>
      </c>
      <c r="E73" s="19">
        <v>7.5</v>
      </c>
      <c r="F73" s="19">
        <v>22</v>
      </c>
      <c r="H73" s="5">
        <v>2</v>
      </c>
      <c r="I73" s="11">
        <v>22</v>
      </c>
      <c r="J73" s="5">
        <f t="shared" si="55"/>
        <v>22.030075187969924</v>
      </c>
      <c r="K73" s="42">
        <f t="shared" ref="K73:K91" si="56">ABS(I73-J73)</f>
        <v>3.0075187969924144E-2</v>
      </c>
    </row>
    <row r="74" spans="1:11" x14ac:dyDescent="0.25">
      <c r="A74" s="19">
        <v>3</v>
      </c>
      <c r="B74" s="19">
        <v>25.203007518796991</v>
      </c>
      <c r="C74" s="19">
        <v>-0.20300751879699064</v>
      </c>
      <c r="E74" s="19">
        <v>12.5</v>
      </c>
      <c r="F74" s="19">
        <v>25</v>
      </c>
      <c r="H74" s="5">
        <v>3</v>
      </c>
      <c r="I74" s="11">
        <v>25</v>
      </c>
      <c r="J74" s="5">
        <f t="shared" si="55"/>
        <v>25.203007518796991</v>
      </c>
      <c r="K74" s="42">
        <f t="shared" si="56"/>
        <v>0.20300751879699064</v>
      </c>
    </row>
    <row r="75" spans="1:11" x14ac:dyDescent="0.25">
      <c r="A75" s="19">
        <v>4</v>
      </c>
      <c r="B75" s="19">
        <v>28.375939849624061</v>
      </c>
      <c r="C75" s="19">
        <v>-1.3759398496240607</v>
      </c>
      <c r="E75" s="19">
        <v>17.5</v>
      </c>
      <c r="F75" s="19">
        <v>27</v>
      </c>
      <c r="H75" s="5">
        <v>4</v>
      </c>
      <c r="I75" s="11">
        <v>27</v>
      </c>
      <c r="J75" s="5">
        <f t="shared" si="55"/>
        <v>28.375939849624061</v>
      </c>
      <c r="K75" s="42">
        <f t="shared" si="56"/>
        <v>1.3759398496240607</v>
      </c>
    </row>
    <row r="76" spans="1:11" x14ac:dyDescent="0.25">
      <c r="A76" s="19">
        <v>5</v>
      </c>
      <c r="B76" s="19">
        <v>31.548872180451127</v>
      </c>
      <c r="C76" s="19">
        <v>0.45112781954887282</v>
      </c>
      <c r="E76" s="19">
        <v>22.5</v>
      </c>
      <c r="F76" s="19">
        <v>32</v>
      </c>
      <c r="H76" s="5">
        <v>5</v>
      </c>
      <c r="I76" s="11">
        <v>32</v>
      </c>
      <c r="J76" s="5">
        <f t="shared" si="55"/>
        <v>31.548872180451127</v>
      </c>
      <c r="K76" s="42">
        <f t="shared" si="56"/>
        <v>0.45112781954887282</v>
      </c>
    </row>
    <row r="77" spans="1:11" x14ac:dyDescent="0.25">
      <c r="A77" s="19">
        <v>6</v>
      </c>
      <c r="B77" s="19">
        <v>34.721804511278194</v>
      </c>
      <c r="C77" s="19">
        <v>0.27819548872180633</v>
      </c>
      <c r="E77" s="19">
        <v>27.5</v>
      </c>
      <c r="F77" s="19">
        <v>35</v>
      </c>
      <c r="H77" s="5">
        <v>6</v>
      </c>
      <c r="I77" s="11">
        <v>35</v>
      </c>
      <c r="J77" s="5">
        <f t="shared" si="55"/>
        <v>34.721804511278194</v>
      </c>
      <c r="K77" s="42">
        <f t="shared" si="56"/>
        <v>0.27819548872180633</v>
      </c>
    </row>
    <row r="78" spans="1:11" x14ac:dyDescent="0.25">
      <c r="A78" s="19">
        <v>7</v>
      </c>
      <c r="B78" s="19">
        <v>37.89473684210526</v>
      </c>
      <c r="C78" s="19">
        <v>1.1052631578947398</v>
      </c>
      <c r="E78" s="19">
        <v>32.5</v>
      </c>
      <c r="F78" s="19">
        <v>39</v>
      </c>
      <c r="H78" s="5">
        <v>7</v>
      </c>
      <c r="I78" s="11">
        <v>39</v>
      </c>
      <c r="J78" s="5">
        <f t="shared" si="55"/>
        <v>37.89473684210526</v>
      </c>
      <c r="K78" s="42">
        <f t="shared" si="56"/>
        <v>1.1052631578947398</v>
      </c>
    </row>
    <row r="79" spans="1:11" x14ac:dyDescent="0.25">
      <c r="A79" s="19">
        <v>8</v>
      </c>
      <c r="B79" s="19">
        <v>41.067669172932327</v>
      </c>
      <c r="C79" s="19">
        <v>-6.766917293232666E-2</v>
      </c>
      <c r="E79" s="19">
        <v>37.5</v>
      </c>
      <c r="F79" s="19">
        <v>41</v>
      </c>
      <c r="H79" s="5">
        <v>8</v>
      </c>
      <c r="I79" s="11">
        <v>41</v>
      </c>
      <c r="J79" s="5">
        <f t="shared" si="55"/>
        <v>41.067669172932327</v>
      </c>
      <c r="K79" s="42">
        <f t="shared" si="56"/>
        <v>6.766917293232666E-2</v>
      </c>
    </row>
    <row r="80" spans="1:11" x14ac:dyDescent="0.25">
      <c r="A80" s="19">
        <v>9</v>
      </c>
      <c r="B80" s="19">
        <v>44.240601503759393</v>
      </c>
      <c r="C80" s="19">
        <v>-1.2406015037593932</v>
      </c>
      <c r="E80" s="19">
        <v>42.5</v>
      </c>
      <c r="F80" s="19">
        <v>43</v>
      </c>
      <c r="H80" s="5">
        <v>9</v>
      </c>
      <c r="I80" s="11">
        <v>43</v>
      </c>
      <c r="J80" s="5">
        <f t="shared" si="55"/>
        <v>44.240601503759393</v>
      </c>
      <c r="K80" s="42">
        <f t="shared" si="56"/>
        <v>1.2406015037593932</v>
      </c>
    </row>
    <row r="81" spans="1:12" x14ac:dyDescent="0.25">
      <c r="A81" s="19">
        <v>10</v>
      </c>
      <c r="B81" s="19">
        <v>47.413533834586467</v>
      </c>
      <c r="C81" s="19">
        <v>-0.41353383458646675</v>
      </c>
      <c r="E81" s="19">
        <v>47.5</v>
      </c>
      <c r="F81" s="19">
        <v>47</v>
      </c>
      <c r="H81" s="5">
        <v>10</v>
      </c>
      <c r="I81" s="11">
        <v>47</v>
      </c>
      <c r="J81" s="5">
        <f t="shared" si="55"/>
        <v>47.413533834586467</v>
      </c>
      <c r="K81" s="42">
        <f t="shared" si="56"/>
        <v>0.41353383458646675</v>
      </c>
    </row>
    <row r="82" spans="1:12" x14ac:dyDescent="0.25">
      <c r="A82" s="19">
        <v>11</v>
      </c>
      <c r="B82" s="19">
        <v>50.586466165413533</v>
      </c>
      <c r="C82" s="19">
        <v>2.4135338345864668</v>
      </c>
      <c r="E82" s="19">
        <v>52.5</v>
      </c>
      <c r="F82" s="19">
        <v>53</v>
      </c>
      <c r="H82" s="5">
        <v>11</v>
      </c>
      <c r="I82" s="11">
        <v>53</v>
      </c>
      <c r="J82" s="5">
        <f t="shared" si="55"/>
        <v>50.586466165413533</v>
      </c>
      <c r="K82" s="42">
        <f t="shared" si="56"/>
        <v>2.4135338345864668</v>
      </c>
    </row>
    <row r="83" spans="1:12" x14ac:dyDescent="0.25">
      <c r="A83" s="19">
        <v>12</v>
      </c>
      <c r="B83" s="19">
        <v>53.7593984962406</v>
      </c>
      <c r="C83" s="19">
        <v>1.2406015037594003</v>
      </c>
      <c r="E83" s="19">
        <v>57.5</v>
      </c>
      <c r="F83" s="19">
        <v>55</v>
      </c>
      <c r="H83" s="5">
        <v>12</v>
      </c>
      <c r="I83" s="11">
        <v>55</v>
      </c>
      <c r="J83" s="5">
        <f t="shared" si="55"/>
        <v>53.7593984962406</v>
      </c>
      <c r="K83" s="42">
        <f t="shared" si="56"/>
        <v>1.2406015037594003</v>
      </c>
    </row>
    <row r="84" spans="1:12" x14ac:dyDescent="0.25">
      <c r="A84" s="19">
        <v>13</v>
      </c>
      <c r="B84" s="19">
        <v>56.932330827067666</v>
      </c>
      <c r="C84" s="19">
        <v>1.0676691729323338</v>
      </c>
      <c r="E84" s="19">
        <v>62.5</v>
      </c>
      <c r="F84" s="19">
        <v>58</v>
      </c>
      <c r="H84" s="5">
        <v>13</v>
      </c>
      <c r="I84" s="11">
        <v>58</v>
      </c>
      <c r="J84" s="5">
        <f t="shared" si="55"/>
        <v>56.932330827067666</v>
      </c>
      <c r="K84" s="42">
        <f t="shared" si="56"/>
        <v>1.0676691729323338</v>
      </c>
    </row>
    <row r="85" spans="1:12" x14ac:dyDescent="0.25">
      <c r="A85" s="19">
        <v>14</v>
      </c>
      <c r="B85" s="19">
        <v>60.10526315789474</v>
      </c>
      <c r="C85" s="19">
        <v>-0.10526315789473983</v>
      </c>
      <c r="E85" s="19">
        <v>67.5</v>
      </c>
      <c r="F85" s="19">
        <v>60</v>
      </c>
      <c r="H85" s="5">
        <v>14</v>
      </c>
      <c r="I85" s="11">
        <v>60</v>
      </c>
      <c r="J85" s="5">
        <f t="shared" si="55"/>
        <v>60.10526315789474</v>
      </c>
      <c r="K85" s="42">
        <f t="shared" si="56"/>
        <v>0.10526315789473983</v>
      </c>
    </row>
    <row r="86" spans="1:12" x14ac:dyDescent="0.25">
      <c r="A86" s="19">
        <v>15</v>
      </c>
      <c r="B86" s="19">
        <v>63.278195488721806</v>
      </c>
      <c r="C86" s="19">
        <v>0.72180451127819367</v>
      </c>
      <c r="E86" s="19">
        <v>72.5</v>
      </c>
      <c r="F86" s="19">
        <v>64</v>
      </c>
      <c r="H86" s="5">
        <v>15</v>
      </c>
      <c r="I86" s="11">
        <v>64</v>
      </c>
      <c r="J86" s="5">
        <f t="shared" si="55"/>
        <v>63.278195488721806</v>
      </c>
      <c r="K86" s="42">
        <f t="shared" si="56"/>
        <v>0.72180451127819367</v>
      </c>
    </row>
    <row r="87" spans="1:12" x14ac:dyDescent="0.25">
      <c r="A87" s="19">
        <v>16</v>
      </c>
      <c r="B87" s="19">
        <v>66.451127819548873</v>
      </c>
      <c r="C87" s="19">
        <v>-0.45112781954887282</v>
      </c>
      <c r="E87" s="19">
        <v>77.5</v>
      </c>
      <c r="F87" s="19">
        <v>66</v>
      </c>
      <c r="H87" s="5">
        <v>16</v>
      </c>
      <c r="I87" s="11">
        <v>66</v>
      </c>
      <c r="J87" s="5">
        <f t="shared" si="55"/>
        <v>66.451127819548873</v>
      </c>
      <c r="K87" s="42">
        <f t="shared" si="56"/>
        <v>0.45112781954887282</v>
      </c>
    </row>
    <row r="88" spans="1:12" x14ac:dyDescent="0.25">
      <c r="A88" s="19">
        <v>17</v>
      </c>
      <c r="B88" s="19">
        <v>69.624060150375939</v>
      </c>
      <c r="C88" s="19">
        <v>-0.62406015037593932</v>
      </c>
      <c r="E88" s="19">
        <v>82.5</v>
      </c>
      <c r="F88" s="19">
        <v>69</v>
      </c>
      <c r="H88" s="5">
        <v>17</v>
      </c>
      <c r="I88" s="11">
        <v>69</v>
      </c>
      <c r="J88" s="5">
        <f t="shared" si="55"/>
        <v>69.624060150375939</v>
      </c>
      <c r="K88" s="42">
        <f t="shared" si="56"/>
        <v>0.62406015037593932</v>
      </c>
    </row>
    <row r="89" spans="1:12" x14ac:dyDescent="0.25">
      <c r="A89" s="19">
        <v>18</v>
      </c>
      <c r="B89" s="19">
        <v>72.796992481203006</v>
      </c>
      <c r="C89" s="19">
        <v>-0.79699248120300581</v>
      </c>
      <c r="E89" s="19">
        <v>87.5</v>
      </c>
      <c r="F89" s="19">
        <v>72</v>
      </c>
      <c r="H89" s="5">
        <v>18</v>
      </c>
      <c r="I89" s="11">
        <v>72</v>
      </c>
      <c r="J89" s="5">
        <f t="shared" si="55"/>
        <v>72.796992481203006</v>
      </c>
      <c r="K89" s="42">
        <f t="shared" si="56"/>
        <v>0.79699248120300581</v>
      </c>
    </row>
    <row r="90" spans="1:12" x14ac:dyDescent="0.25">
      <c r="A90" s="19">
        <v>19</v>
      </c>
      <c r="B90" s="19">
        <v>75.969924812030087</v>
      </c>
      <c r="C90" s="19">
        <v>-0.96992481203008651</v>
      </c>
      <c r="E90" s="19">
        <v>92.5</v>
      </c>
      <c r="F90" s="19">
        <v>75</v>
      </c>
      <c r="H90" s="5">
        <v>19</v>
      </c>
      <c r="I90" s="11">
        <v>75</v>
      </c>
      <c r="J90" s="5">
        <f t="shared" si="55"/>
        <v>75.969924812030087</v>
      </c>
      <c r="K90" s="42">
        <f t="shared" si="56"/>
        <v>0.96992481203008651</v>
      </c>
    </row>
    <row r="91" spans="1:12" ht="15.75" thickBot="1" x14ac:dyDescent="0.3">
      <c r="A91" s="20">
        <v>20</v>
      </c>
      <c r="B91" s="20">
        <v>79.142857142857139</v>
      </c>
      <c r="C91" s="20">
        <v>-0.1428571428571388</v>
      </c>
      <c r="E91" s="20">
        <v>97.5</v>
      </c>
      <c r="F91" s="20">
        <v>79</v>
      </c>
      <c r="H91" s="6">
        <v>20</v>
      </c>
      <c r="I91" s="27">
        <v>79</v>
      </c>
      <c r="J91" s="5">
        <f t="shared" si="55"/>
        <v>79.142857142857139</v>
      </c>
      <c r="K91" s="42">
        <f t="shared" si="56"/>
        <v>0.1428571428571388</v>
      </c>
    </row>
    <row r="92" spans="1:12" ht="15.75" thickBot="1" x14ac:dyDescent="0.3">
      <c r="H92" s="31">
        <v>21</v>
      </c>
      <c r="I92" s="82"/>
      <c r="J92" s="31">
        <f>$B$64+($B$65*H92)</f>
        <v>82.31578947368422</v>
      </c>
      <c r="K92" s="108">
        <f>AVERAGE(K72:K91)</f>
        <v>0.72781954887218059</v>
      </c>
      <c r="L92" s="3" t="s">
        <v>6</v>
      </c>
    </row>
    <row r="93" spans="1:12" ht="15.75" thickBot="1" x14ac:dyDescent="0.3">
      <c r="A93" s="77" t="s">
        <v>55</v>
      </c>
      <c r="B93" s="81" t="s">
        <v>64</v>
      </c>
      <c r="C93" s="61" t="s">
        <v>42</v>
      </c>
      <c r="H93" s="5">
        <v>22</v>
      </c>
      <c r="I93" s="7"/>
      <c r="J93" s="5">
        <f>$B$64+($B$65*H93)</f>
        <v>85.488721804511272</v>
      </c>
    </row>
    <row r="94" spans="1:12" x14ac:dyDescent="0.25">
      <c r="A94" s="11">
        <v>21</v>
      </c>
      <c r="B94" s="7">
        <f>$B$65*A94</f>
        <v>66.631578947368425</v>
      </c>
      <c r="C94" s="8">
        <f>$B$64+B94</f>
        <v>82.31578947368422</v>
      </c>
      <c r="H94" s="5">
        <v>23</v>
      </c>
      <c r="I94" s="7"/>
      <c r="J94" s="5">
        <f>$B$64+($B$65*H94)</f>
        <v>88.661654135338352</v>
      </c>
    </row>
    <row r="95" spans="1:12" x14ac:dyDescent="0.25">
      <c r="A95" s="11">
        <v>22</v>
      </c>
      <c r="B95" s="7">
        <f>$B$65*A95</f>
        <v>69.804511278195491</v>
      </c>
      <c r="C95" s="8">
        <f>$B$64+B95</f>
        <v>85.488721804511272</v>
      </c>
      <c r="H95" s="5">
        <v>24</v>
      </c>
      <c r="I95" s="7"/>
      <c r="J95" s="5">
        <f>$B$64+($B$65*H95)</f>
        <v>91.834586466165405</v>
      </c>
    </row>
    <row r="96" spans="1:12" ht="15.75" thickBot="1" x14ac:dyDescent="0.3">
      <c r="A96" s="11">
        <v>23</v>
      </c>
      <c r="B96" s="7">
        <f>$B$65*A96</f>
        <v>72.977443609022558</v>
      </c>
      <c r="C96" s="8">
        <f>$B$64+B96</f>
        <v>88.661654135338352</v>
      </c>
      <c r="H96" s="6">
        <v>25</v>
      </c>
      <c r="I96" s="9"/>
      <c r="J96" s="6">
        <f>$B$64+($B$65*H96)</f>
        <v>95.007518796992485</v>
      </c>
    </row>
    <row r="97" spans="1:3" x14ac:dyDescent="0.25">
      <c r="A97" s="11">
        <v>24</v>
      </c>
      <c r="B97" s="7">
        <f>$B$65*A97</f>
        <v>76.150375939849624</v>
      </c>
      <c r="C97" s="8">
        <f>$B$64+B97</f>
        <v>91.834586466165405</v>
      </c>
    </row>
    <row r="98" spans="1:3" ht="15.75" thickBot="1" x14ac:dyDescent="0.3">
      <c r="A98" s="27">
        <v>25</v>
      </c>
      <c r="B98" s="9">
        <f>$B$65*A98</f>
        <v>79.323308270676691</v>
      </c>
      <c r="C98" s="10">
        <f>$B$64+B98</f>
        <v>95.007518796992485</v>
      </c>
    </row>
  </sheetData>
  <sortState xmlns:xlrd2="http://schemas.microsoft.com/office/spreadsheetml/2017/richdata2" ref="F72:F91">
    <sortCondition ref="F72"/>
  </sortState>
  <mergeCells count="51">
    <mergeCell ref="Q44:R44"/>
    <mergeCell ref="S44:T44"/>
    <mergeCell ref="A48:I48"/>
    <mergeCell ref="AA45:AB45"/>
    <mergeCell ref="AC45:AD45"/>
    <mergeCell ref="K45:L45"/>
    <mergeCell ref="M45:N45"/>
    <mergeCell ref="A45:B45"/>
    <mergeCell ref="C45:D45"/>
    <mergeCell ref="E45:F45"/>
    <mergeCell ref="G45:H45"/>
    <mergeCell ref="I45:J45"/>
    <mergeCell ref="A46:B46"/>
    <mergeCell ref="C46:D46"/>
    <mergeCell ref="E46:F46"/>
    <mergeCell ref="G46:H46"/>
    <mergeCell ref="AE45:AF45"/>
    <mergeCell ref="O45:P45"/>
    <mergeCell ref="Q45:R45"/>
    <mergeCell ref="S45:T45"/>
    <mergeCell ref="U45:V45"/>
    <mergeCell ref="W45:X45"/>
    <mergeCell ref="Y45:Z45"/>
    <mergeCell ref="I22:AF22"/>
    <mergeCell ref="A44:B44"/>
    <mergeCell ref="C44:D44"/>
    <mergeCell ref="E44:F44"/>
    <mergeCell ref="G44:H44"/>
    <mergeCell ref="I44:J44"/>
    <mergeCell ref="K44:L44"/>
    <mergeCell ref="M44:N44"/>
    <mergeCell ref="AA44:AB44"/>
    <mergeCell ref="AC44:AD44"/>
    <mergeCell ref="AE44:AF44"/>
    <mergeCell ref="U44:V44"/>
    <mergeCell ref="W44:X44"/>
    <mergeCell ref="Y44:Z44"/>
    <mergeCell ref="A22:H22"/>
    <mergeCell ref="O44:P44"/>
    <mergeCell ref="I46:J46"/>
    <mergeCell ref="K46:L46"/>
    <mergeCell ref="M46:N46"/>
    <mergeCell ref="O46:P46"/>
    <mergeCell ref="Q46:R46"/>
    <mergeCell ref="AC46:AD46"/>
    <mergeCell ref="AE46:AF46"/>
    <mergeCell ref="S46:T46"/>
    <mergeCell ref="U46:V46"/>
    <mergeCell ref="W46:X46"/>
    <mergeCell ref="Y46:Z46"/>
    <mergeCell ref="AA46:AB46"/>
  </mergeCells>
  <pageMargins left="0.7" right="0.7" top="0.75" bottom="0.75" header="0.3" footer="0.3"/>
  <pageSetup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C112-8946-4A36-95FB-94B8067148D0}">
  <dimension ref="A1:F33"/>
  <sheetViews>
    <sheetView zoomScale="85" zoomScaleNormal="85" workbookViewId="0">
      <selection activeCell="H19" sqref="H19"/>
    </sheetView>
  </sheetViews>
  <sheetFormatPr defaultColWidth="12.5703125" defaultRowHeight="15" x14ac:dyDescent="0.25"/>
  <cols>
    <col min="1" max="1" width="21.7109375" style="259" customWidth="1"/>
    <col min="2" max="2" width="12.5703125" style="259"/>
    <col min="3" max="3" width="17.28515625" style="259" customWidth="1"/>
    <col min="4" max="4" width="12.5703125" style="259"/>
    <col min="5" max="5" width="18.28515625" style="259" bestFit="1" customWidth="1"/>
    <col min="6" max="16384" width="12.5703125" style="259"/>
  </cols>
  <sheetData>
    <row r="1" spans="1:6" x14ac:dyDescent="0.25">
      <c r="A1" s="264" t="s">
        <v>0</v>
      </c>
      <c r="B1" s="264" t="s">
        <v>4</v>
      </c>
      <c r="C1" s="263" t="s">
        <v>201</v>
      </c>
      <c r="D1" s="263" t="s">
        <v>42</v>
      </c>
      <c r="E1" s="263" t="s">
        <v>33</v>
      </c>
      <c r="F1" s="263" t="s">
        <v>200</v>
      </c>
    </row>
    <row r="2" spans="1:6" x14ac:dyDescent="0.25">
      <c r="A2" s="260">
        <v>1</v>
      </c>
      <c r="B2" s="260">
        <v>18</v>
      </c>
      <c r="D2" s="259">
        <f t="shared" ref="D2:D21" si="0">B2+C$28</f>
        <v>21.210526315789473</v>
      </c>
      <c r="E2" s="259">
        <f t="shared" ref="E2:E26" si="1">C$30+SQRT(F2)</f>
        <v>2.1040093138633171</v>
      </c>
      <c r="F2" s="259">
        <v>1</v>
      </c>
    </row>
    <row r="3" spans="1:6" x14ac:dyDescent="0.25">
      <c r="A3" s="260">
        <v>2</v>
      </c>
      <c r="B3" s="260">
        <v>22</v>
      </c>
      <c r="C3" s="259">
        <f t="shared" ref="C3:C21" si="2">B3-B2</f>
        <v>4</v>
      </c>
      <c r="D3" s="259">
        <f t="shared" si="0"/>
        <v>25.210526315789473</v>
      </c>
      <c r="E3" s="259">
        <f t="shared" si="1"/>
        <v>2.5182228762364125</v>
      </c>
      <c r="F3" s="259">
        <v>2</v>
      </c>
    </row>
    <row r="4" spans="1:6" x14ac:dyDescent="0.25">
      <c r="A4" s="260">
        <v>3</v>
      </c>
      <c r="B4" s="260">
        <v>25</v>
      </c>
      <c r="C4" s="259">
        <f t="shared" si="2"/>
        <v>3</v>
      </c>
      <c r="D4" s="259">
        <f t="shared" si="0"/>
        <v>28.210526315789473</v>
      </c>
      <c r="E4" s="259">
        <f t="shared" si="1"/>
        <v>2.8360601214321948</v>
      </c>
      <c r="F4" s="259">
        <v>3</v>
      </c>
    </row>
    <row r="5" spans="1:6" x14ac:dyDescent="0.25">
      <c r="A5" s="260">
        <v>4</v>
      </c>
      <c r="B5" s="260">
        <v>27</v>
      </c>
      <c r="C5" s="259">
        <f t="shared" si="2"/>
        <v>2</v>
      </c>
      <c r="D5" s="259">
        <f t="shared" si="0"/>
        <v>30.210526315789473</v>
      </c>
      <c r="E5" s="259">
        <f t="shared" si="1"/>
        <v>3.1040093138633171</v>
      </c>
      <c r="F5" s="259">
        <v>4</v>
      </c>
    </row>
    <row r="6" spans="1:6" x14ac:dyDescent="0.25">
      <c r="A6" s="260">
        <v>5</v>
      </c>
      <c r="B6" s="260">
        <v>32</v>
      </c>
      <c r="C6" s="259">
        <f t="shared" si="2"/>
        <v>5</v>
      </c>
      <c r="D6" s="259">
        <f t="shared" si="0"/>
        <v>35.210526315789473</v>
      </c>
      <c r="E6" s="259">
        <f t="shared" si="1"/>
        <v>3.3400772913631069</v>
      </c>
      <c r="F6" s="259">
        <v>5</v>
      </c>
    </row>
    <row r="7" spans="1:6" x14ac:dyDescent="0.25">
      <c r="A7" s="260">
        <v>6</v>
      </c>
      <c r="B7" s="260">
        <v>35</v>
      </c>
      <c r="C7" s="259">
        <f t="shared" si="2"/>
        <v>3</v>
      </c>
      <c r="D7" s="259">
        <f t="shared" si="0"/>
        <v>38.210526315789473</v>
      </c>
      <c r="E7" s="259">
        <f t="shared" si="1"/>
        <v>3.553499056646495</v>
      </c>
      <c r="F7" s="259">
        <v>6</v>
      </c>
    </row>
    <row r="8" spans="1:6" x14ac:dyDescent="0.25">
      <c r="A8" s="260">
        <v>7</v>
      </c>
      <c r="B8" s="260">
        <v>39</v>
      </c>
      <c r="C8" s="259">
        <f t="shared" si="2"/>
        <v>4</v>
      </c>
      <c r="D8" s="259">
        <f t="shared" si="0"/>
        <v>42.210526315789473</v>
      </c>
      <c r="E8" s="259">
        <f t="shared" si="1"/>
        <v>3.7497606249279078</v>
      </c>
      <c r="F8" s="259">
        <v>7</v>
      </c>
    </row>
    <row r="9" spans="1:6" x14ac:dyDescent="0.25">
      <c r="A9" s="260">
        <v>8</v>
      </c>
      <c r="B9" s="260">
        <v>41</v>
      </c>
      <c r="C9" s="259">
        <f t="shared" si="2"/>
        <v>2</v>
      </c>
      <c r="D9" s="259">
        <f t="shared" si="0"/>
        <v>44.210526315789473</v>
      </c>
      <c r="E9" s="259">
        <f t="shared" si="1"/>
        <v>3.9324364386095079</v>
      </c>
      <c r="F9" s="259">
        <v>8</v>
      </c>
    </row>
    <row r="10" spans="1:6" x14ac:dyDescent="0.25">
      <c r="A10" s="260">
        <v>9</v>
      </c>
      <c r="B10" s="260">
        <v>43</v>
      </c>
      <c r="C10" s="259">
        <f t="shared" si="2"/>
        <v>2</v>
      </c>
      <c r="D10" s="259">
        <f t="shared" si="0"/>
        <v>46.210526315789473</v>
      </c>
      <c r="E10" s="259">
        <f t="shared" si="1"/>
        <v>4.1040093138633171</v>
      </c>
      <c r="F10" s="259">
        <v>9</v>
      </c>
    </row>
    <row r="11" spans="1:6" x14ac:dyDescent="0.25">
      <c r="A11" s="260">
        <v>10</v>
      </c>
      <c r="B11" s="260">
        <v>47</v>
      </c>
      <c r="C11" s="259">
        <f t="shared" si="2"/>
        <v>4</v>
      </c>
      <c r="D11" s="259">
        <f t="shared" si="0"/>
        <v>50.210526315789473</v>
      </c>
      <c r="E11" s="259">
        <f t="shared" si="1"/>
        <v>4.2662869740316971</v>
      </c>
      <c r="F11" s="259">
        <v>10</v>
      </c>
    </row>
    <row r="12" spans="1:6" x14ac:dyDescent="0.25">
      <c r="A12" s="260">
        <v>11</v>
      </c>
      <c r="B12" s="260">
        <v>53</v>
      </c>
      <c r="C12" s="259">
        <f t="shared" si="2"/>
        <v>6</v>
      </c>
      <c r="D12" s="259">
        <f t="shared" si="0"/>
        <v>56.210526315789473</v>
      </c>
      <c r="E12" s="259">
        <f t="shared" si="1"/>
        <v>4.4206341042187169</v>
      </c>
      <c r="F12" s="259">
        <v>11</v>
      </c>
    </row>
    <row r="13" spans="1:6" x14ac:dyDescent="0.25">
      <c r="A13" s="260">
        <v>12</v>
      </c>
      <c r="B13" s="260">
        <v>55</v>
      </c>
      <c r="C13" s="259">
        <f t="shared" si="2"/>
        <v>2</v>
      </c>
      <c r="D13" s="259">
        <f t="shared" si="0"/>
        <v>58.210526315789473</v>
      </c>
      <c r="E13" s="259">
        <f t="shared" si="1"/>
        <v>4.4206341042187169</v>
      </c>
      <c r="F13" s="259">
        <v>11</v>
      </c>
    </row>
    <row r="14" spans="1:6" x14ac:dyDescent="0.25">
      <c r="A14" s="260">
        <v>13</v>
      </c>
      <c r="B14" s="260">
        <v>58</v>
      </c>
      <c r="C14" s="259">
        <f t="shared" si="2"/>
        <v>3</v>
      </c>
      <c r="D14" s="259">
        <f t="shared" si="0"/>
        <v>61.210526315789473</v>
      </c>
      <c r="E14" s="259">
        <f t="shared" si="1"/>
        <v>4.7095605893273067</v>
      </c>
      <c r="F14" s="259">
        <v>13</v>
      </c>
    </row>
    <row r="15" spans="1:6" x14ac:dyDescent="0.25">
      <c r="A15" s="260">
        <v>14</v>
      </c>
      <c r="B15" s="260">
        <v>60</v>
      </c>
      <c r="C15" s="259">
        <f t="shared" si="2"/>
        <v>2</v>
      </c>
      <c r="D15" s="259">
        <f t="shared" si="0"/>
        <v>63.210526315789473</v>
      </c>
      <c r="E15" s="259">
        <f t="shared" si="1"/>
        <v>4.8456667006372589</v>
      </c>
      <c r="F15" s="259">
        <v>14</v>
      </c>
    </row>
    <row r="16" spans="1:6" x14ac:dyDescent="0.25">
      <c r="A16" s="260">
        <v>15</v>
      </c>
      <c r="B16" s="260">
        <v>64</v>
      </c>
      <c r="C16" s="259">
        <f t="shared" si="2"/>
        <v>4</v>
      </c>
      <c r="D16" s="259">
        <f t="shared" si="0"/>
        <v>67.21052631578948</v>
      </c>
      <c r="E16" s="259">
        <f t="shared" si="1"/>
        <v>4.9769926600707342</v>
      </c>
      <c r="F16" s="259">
        <v>15</v>
      </c>
    </row>
    <row r="17" spans="1:6" x14ac:dyDescent="0.25">
      <c r="A17" s="260">
        <v>16</v>
      </c>
      <c r="B17" s="260">
        <v>66</v>
      </c>
      <c r="C17" s="259">
        <f t="shared" si="2"/>
        <v>2</v>
      </c>
      <c r="D17" s="259">
        <f t="shared" si="0"/>
        <v>69.21052631578948</v>
      </c>
      <c r="E17" s="259">
        <f t="shared" si="1"/>
        <v>5.1040093138633171</v>
      </c>
      <c r="F17" s="259">
        <v>16</v>
      </c>
    </row>
    <row r="18" spans="1:6" x14ac:dyDescent="0.25">
      <c r="A18" s="260">
        <v>17</v>
      </c>
      <c r="B18" s="260">
        <v>69</v>
      </c>
      <c r="C18" s="259">
        <f t="shared" si="2"/>
        <v>3</v>
      </c>
      <c r="D18" s="259">
        <f t="shared" si="0"/>
        <v>72.21052631578948</v>
      </c>
      <c r="E18" s="259">
        <f t="shared" si="1"/>
        <v>5.2271149394809777</v>
      </c>
      <c r="F18" s="259">
        <v>17</v>
      </c>
    </row>
    <row r="19" spans="1:6" x14ac:dyDescent="0.25">
      <c r="A19" s="260">
        <v>18</v>
      </c>
      <c r="B19" s="260">
        <v>72</v>
      </c>
      <c r="C19" s="259">
        <f t="shared" si="2"/>
        <v>3</v>
      </c>
      <c r="D19" s="259">
        <f t="shared" si="0"/>
        <v>75.21052631578948</v>
      </c>
      <c r="E19" s="259">
        <f t="shared" si="1"/>
        <v>5.3466500009826019</v>
      </c>
      <c r="F19" s="259">
        <v>18</v>
      </c>
    </row>
    <row r="20" spans="1:6" x14ac:dyDescent="0.25">
      <c r="A20" s="260">
        <v>19</v>
      </c>
      <c r="B20" s="260">
        <v>75</v>
      </c>
      <c r="C20" s="259">
        <f t="shared" si="2"/>
        <v>3</v>
      </c>
      <c r="D20" s="259">
        <f t="shared" si="0"/>
        <v>78.21052631578948</v>
      </c>
      <c r="E20" s="259">
        <f t="shared" si="1"/>
        <v>5.4629082574039911</v>
      </c>
      <c r="F20" s="259">
        <v>19</v>
      </c>
    </row>
    <row r="21" spans="1:6" x14ac:dyDescent="0.25">
      <c r="A21" s="262">
        <v>20</v>
      </c>
      <c r="B21" s="262">
        <v>79</v>
      </c>
      <c r="C21" s="261">
        <f t="shared" si="2"/>
        <v>4</v>
      </c>
      <c r="D21" s="261">
        <f t="shared" si="0"/>
        <v>82.21052631578948</v>
      </c>
      <c r="E21" s="261">
        <f t="shared" si="1"/>
        <v>5.5761452688628967</v>
      </c>
      <c r="F21" s="261">
        <v>20</v>
      </c>
    </row>
    <row r="22" spans="1:6" x14ac:dyDescent="0.25">
      <c r="A22" s="260">
        <v>21</v>
      </c>
      <c r="B22" s="260"/>
      <c r="D22" s="259">
        <f>B21+C28</f>
        <v>82.21052631578948</v>
      </c>
      <c r="E22" s="259">
        <f t="shared" si="1"/>
        <v>2.1040093138633171</v>
      </c>
      <c r="F22" s="259">
        <v>1</v>
      </c>
    </row>
    <row r="23" spans="1:6" x14ac:dyDescent="0.25">
      <c r="A23" s="260">
        <v>22</v>
      </c>
      <c r="B23" s="260"/>
      <c r="D23" s="259">
        <f>D22+C28</f>
        <v>85.421052631578959</v>
      </c>
      <c r="E23" s="259">
        <f t="shared" si="1"/>
        <v>2.5182228762364125</v>
      </c>
      <c r="F23" s="259">
        <v>2</v>
      </c>
    </row>
    <row r="24" spans="1:6" x14ac:dyDescent="0.25">
      <c r="A24" s="260">
        <v>23</v>
      </c>
      <c r="B24" s="260"/>
      <c r="D24" s="259">
        <f>D23+C28</f>
        <v>88.631578947368439</v>
      </c>
      <c r="E24" s="259">
        <f t="shared" si="1"/>
        <v>2.8360601214321948</v>
      </c>
      <c r="F24" s="259">
        <v>3</v>
      </c>
    </row>
    <row r="25" spans="1:6" x14ac:dyDescent="0.25">
      <c r="A25" s="260">
        <v>24</v>
      </c>
      <c r="B25" s="260"/>
      <c r="D25" s="259">
        <f>D24+C28</f>
        <v>91.842105263157919</v>
      </c>
      <c r="E25" s="259">
        <f t="shared" si="1"/>
        <v>3.1040093138633171</v>
      </c>
      <c r="F25" s="259">
        <v>4</v>
      </c>
    </row>
    <row r="26" spans="1:6" x14ac:dyDescent="0.25">
      <c r="A26" s="260">
        <v>25</v>
      </c>
      <c r="B26" s="260"/>
      <c r="D26" s="259">
        <f>D25+C28</f>
        <v>95.052631578947398</v>
      </c>
      <c r="E26" s="259">
        <f t="shared" si="1"/>
        <v>3.3400772913631069</v>
      </c>
      <c r="F26" s="259">
        <v>5</v>
      </c>
    </row>
    <row r="28" spans="1:6" x14ac:dyDescent="0.25">
      <c r="A28" s="259" t="s">
        <v>199</v>
      </c>
      <c r="C28" s="259">
        <f>AVERAGE(C3:C21)</f>
        <v>3.2105263157894739</v>
      </c>
    </row>
    <row r="29" spans="1:6" x14ac:dyDescent="0.25">
      <c r="A29" s="259" t="s">
        <v>198</v>
      </c>
      <c r="C29" s="259">
        <f>MEDIAN(C3:C21)</f>
        <v>3</v>
      </c>
    </row>
    <row r="30" spans="1:6" x14ac:dyDescent="0.25">
      <c r="A30" s="259" t="s">
        <v>197</v>
      </c>
      <c r="C30" s="259">
        <f>_xlfn.STDEV.P(C2:C21)</f>
        <v>1.1040093138633174</v>
      </c>
    </row>
    <row r="32" spans="1:6" x14ac:dyDescent="0.25">
      <c r="A32" s="259" t="s">
        <v>196</v>
      </c>
      <c r="C32" s="259">
        <f>AVERAGE(C3:C11)</f>
        <v>3.2222222222222223</v>
      </c>
      <c r="E32" s="259">
        <f>AVERAGE(E2:E11)</f>
        <v>3.3508371324837269</v>
      </c>
    </row>
    <row r="33" spans="1:5" x14ac:dyDescent="0.25">
      <c r="A33" s="259" t="s">
        <v>195</v>
      </c>
      <c r="C33" s="259">
        <f>AVERAGE(C12:C21)</f>
        <v>3.2</v>
      </c>
      <c r="E33" s="259">
        <f>AVERAGE(E12:E21)</f>
        <v>5.0090315939066512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039EA-3C27-4FC4-A49D-51EF3F7686CB}">
  <sheetPr codeName="Sheet7"/>
  <dimension ref="A1:X79"/>
  <sheetViews>
    <sheetView zoomScale="89" zoomScaleNormal="89" workbookViewId="0">
      <selection activeCell="N25" sqref="N25"/>
    </sheetView>
  </sheetViews>
  <sheetFormatPr defaultColWidth="9.140625" defaultRowHeight="15" x14ac:dyDescent="0.25"/>
  <cols>
    <col min="1" max="1" width="18" style="1" bestFit="1" customWidth="1"/>
    <col min="2" max="2" width="12.7109375" style="1" bestFit="1" customWidth="1"/>
    <col min="3" max="3" width="15.42578125" style="1" bestFit="1" customWidth="1"/>
    <col min="4" max="4" width="18.42578125" style="1" bestFit="1" customWidth="1"/>
    <col min="5" max="5" width="9.140625" style="1"/>
    <col min="6" max="6" width="18.42578125" style="1" bestFit="1" customWidth="1"/>
    <col min="7" max="7" width="12" style="1" bestFit="1" customWidth="1"/>
    <col min="8" max="8" width="18.42578125" style="1" bestFit="1" customWidth="1"/>
    <col min="9" max="9" width="13.85546875" style="1" bestFit="1" customWidth="1"/>
    <col min="10" max="10" width="18.42578125" style="1" bestFit="1" customWidth="1"/>
    <col min="11" max="11" width="9.140625" style="1"/>
    <col min="12" max="12" width="18.42578125" style="1" bestFit="1" customWidth="1"/>
    <col min="13" max="13" width="9.140625" style="1"/>
    <col min="14" max="14" width="18.42578125" style="1" bestFit="1" customWidth="1"/>
    <col min="15" max="15" width="9.140625" style="1"/>
    <col min="16" max="16" width="18.42578125" style="1" bestFit="1" customWidth="1"/>
    <col min="17" max="17" width="9.140625" style="1"/>
    <col min="18" max="18" width="18.42578125" style="1" bestFit="1" customWidth="1"/>
    <col min="19" max="19" width="9.140625" style="1"/>
    <col min="20" max="20" width="18.42578125" style="1" bestFit="1" customWidth="1"/>
    <col min="21" max="21" width="9.140625" style="1"/>
    <col min="22" max="22" width="18.42578125" style="1" bestFit="1" customWidth="1"/>
    <col min="23" max="23" width="9.140625" style="1"/>
    <col min="24" max="24" width="18.42578125" style="1" bestFit="1" customWidth="1"/>
    <col min="25" max="25" width="9.140625" style="1"/>
    <col min="26" max="26" width="18.42578125" style="1" bestFit="1" customWidth="1"/>
    <col min="27" max="27" width="9.140625" style="1"/>
    <col min="28" max="28" width="18.42578125" style="1" bestFit="1" customWidth="1"/>
    <col min="29" max="29" width="9.140625" style="1"/>
    <col min="30" max="30" width="18.42578125" style="1" bestFit="1" customWidth="1"/>
    <col min="31" max="31" width="9.140625" style="1"/>
    <col min="32" max="32" width="18.42578125" style="1" bestFit="1" customWidth="1"/>
    <col min="33" max="16384" width="9.140625" style="1"/>
  </cols>
  <sheetData>
    <row r="1" spans="1:2" ht="15.75" thickBot="1" x14ac:dyDescent="0.3">
      <c r="A1" s="60" t="s">
        <v>0</v>
      </c>
      <c r="B1" s="60" t="s">
        <v>5</v>
      </c>
    </row>
    <row r="2" spans="1:2" x14ac:dyDescent="0.25">
      <c r="A2" s="5">
        <v>1</v>
      </c>
      <c r="B2" s="8">
        <v>55</v>
      </c>
    </row>
    <row r="3" spans="1:2" x14ac:dyDescent="0.25">
      <c r="A3" s="5">
        <v>2</v>
      </c>
      <c r="B3" s="8">
        <v>46</v>
      </c>
    </row>
    <row r="4" spans="1:2" x14ac:dyDescent="0.25">
      <c r="A4" s="5">
        <v>3</v>
      </c>
      <c r="B4" s="8">
        <v>58</v>
      </c>
    </row>
    <row r="5" spans="1:2" x14ac:dyDescent="0.25">
      <c r="A5" s="5">
        <v>4</v>
      </c>
      <c r="B5" s="8">
        <v>37</v>
      </c>
    </row>
    <row r="6" spans="1:2" x14ac:dyDescent="0.25">
      <c r="A6" s="5">
        <v>5</v>
      </c>
      <c r="B6" s="8">
        <v>32</v>
      </c>
    </row>
    <row r="7" spans="1:2" x14ac:dyDescent="0.25">
      <c r="A7" s="5">
        <v>6</v>
      </c>
      <c r="B7" s="8">
        <v>48</v>
      </c>
    </row>
    <row r="8" spans="1:2" x14ac:dyDescent="0.25">
      <c r="A8" s="5">
        <v>7</v>
      </c>
      <c r="B8" s="8">
        <v>67</v>
      </c>
    </row>
    <row r="9" spans="1:2" x14ac:dyDescent="0.25">
      <c r="A9" s="5">
        <v>8</v>
      </c>
      <c r="B9" s="8">
        <v>68</v>
      </c>
    </row>
    <row r="10" spans="1:2" x14ac:dyDescent="0.25">
      <c r="A10" s="5">
        <v>9</v>
      </c>
      <c r="B10" s="8">
        <v>52</v>
      </c>
    </row>
    <row r="11" spans="1:2" x14ac:dyDescent="0.25">
      <c r="A11" s="5">
        <v>10</v>
      </c>
      <c r="B11" s="8">
        <v>42</v>
      </c>
    </row>
    <row r="12" spans="1:2" x14ac:dyDescent="0.25">
      <c r="A12" s="5">
        <v>11</v>
      </c>
      <c r="B12" s="8">
        <v>32</v>
      </c>
    </row>
    <row r="13" spans="1:2" x14ac:dyDescent="0.25">
      <c r="A13" s="5">
        <v>12</v>
      </c>
      <c r="B13" s="8">
        <v>43</v>
      </c>
    </row>
    <row r="14" spans="1:2" x14ac:dyDescent="0.25">
      <c r="A14" s="5">
        <v>13</v>
      </c>
      <c r="B14" s="8">
        <v>37</v>
      </c>
    </row>
    <row r="15" spans="1:2" x14ac:dyDescent="0.25">
      <c r="A15" s="5">
        <v>14</v>
      </c>
      <c r="B15" s="8">
        <v>61</v>
      </c>
    </row>
    <row r="16" spans="1:2" x14ac:dyDescent="0.25">
      <c r="A16" s="5">
        <v>15</v>
      </c>
      <c r="B16" s="8">
        <v>45</v>
      </c>
    </row>
    <row r="17" spans="1:18" x14ac:dyDescent="0.25">
      <c r="A17" s="5">
        <v>16</v>
      </c>
      <c r="B17" s="8">
        <v>48</v>
      </c>
    </row>
    <row r="18" spans="1:18" x14ac:dyDescent="0.25">
      <c r="A18" s="5">
        <v>17</v>
      </c>
      <c r="B18" s="8">
        <v>53</v>
      </c>
    </row>
    <row r="19" spans="1:18" x14ac:dyDescent="0.25">
      <c r="A19" s="5">
        <v>18</v>
      </c>
      <c r="B19" s="8">
        <v>38</v>
      </c>
    </row>
    <row r="20" spans="1:18" x14ac:dyDescent="0.25">
      <c r="A20" s="5">
        <v>19</v>
      </c>
      <c r="B20" s="8">
        <v>57</v>
      </c>
    </row>
    <row r="21" spans="1:18" ht="15.75" thickBot="1" x14ac:dyDescent="0.3">
      <c r="A21" s="5">
        <v>20</v>
      </c>
      <c r="B21" s="8">
        <v>40</v>
      </c>
    </row>
    <row r="22" spans="1:18" ht="15.75" thickBot="1" x14ac:dyDescent="0.3">
      <c r="A22" s="312" t="s">
        <v>7</v>
      </c>
      <c r="B22" s="313"/>
      <c r="C22" s="313"/>
      <c r="D22" s="313"/>
      <c r="E22" s="313"/>
      <c r="F22" s="313"/>
      <c r="G22" s="313"/>
      <c r="H22" s="313"/>
      <c r="I22" s="313"/>
      <c r="J22" s="313"/>
      <c r="K22" s="313"/>
      <c r="L22" s="314"/>
    </row>
    <row r="23" spans="1:18" ht="15.75" thickBot="1" x14ac:dyDescent="0.3">
      <c r="A23" s="4" t="s">
        <v>0</v>
      </c>
      <c r="B23" s="2" t="s">
        <v>5</v>
      </c>
      <c r="C23" s="12">
        <v>2</v>
      </c>
      <c r="D23" s="17" t="s">
        <v>33</v>
      </c>
      <c r="E23" s="12">
        <v>4</v>
      </c>
      <c r="F23" s="17" t="s">
        <v>33</v>
      </c>
      <c r="G23" s="12">
        <v>5</v>
      </c>
      <c r="H23" s="17" t="s">
        <v>33</v>
      </c>
      <c r="I23" s="12">
        <v>6</v>
      </c>
      <c r="J23" s="46" t="s">
        <v>33</v>
      </c>
      <c r="K23" s="12">
        <v>8</v>
      </c>
      <c r="L23" s="46" t="s">
        <v>33</v>
      </c>
      <c r="Q23" s="45">
        <v>55</v>
      </c>
      <c r="R23" s="90" t="s">
        <v>34</v>
      </c>
    </row>
    <row r="24" spans="1:18" x14ac:dyDescent="0.25">
      <c r="A24" s="5">
        <v>1</v>
      </c>
      <c r="B24" s="8">
        <v>55</v>
      </c>
      <c r="C24" s="11" t="s">
        <v>34</v>
      </c>
      <c r="D24" s="8" t="s">
        <v>34</v>
      </c>
      <c r="E24" s="11" t="s">
        <v>34</v>
      </c>
      <c r="F24" s="8" t="s">
        <v>34</v>
      </c>
      <c r="G24" s="11" t="s">
        <v>34</v>
      </c>
      <c r="H24" s="8" t="s">
        <v>34</v>
      </c>
      <c r="I24" s="11" t="s">
        <v>34</v>
      </c>
      <c r="J24" s="8" t="s">
        <v>34</v>
      </c>
      <c r="K24" s="11" t="s">
        <v>34</v>
      </c>
      <c r="L24" s="8" t="s">
        <v>34</v>
      </c>
      <c r="Q24" s="11">
        <v>46</v>
      </c>
      <c r="R24" s="8" t="s">
        <v>34</v>
      </c>
    </row>
    <row r="25" spans="1:18" x14ac:dyDescent="0.25">
      <c r="A25" s="5">
        <v>2</v>
      </c>
      <c r="B25" s="8">
        <v>46</v>
      </c>
      <c r="C25" s="13" t="s">
        <v>34</v>
      </c>
      <c r="D25" s="14" t="s">
        <v>34</v>
      </c>
      <c r="E25" s="11" t="s">
        <v>34</v>
      </c>
      <c r="F25" s="8" t="s">
        <v>34</v>
      </c>
      <c r="G25" s="11" t="s">
        <v>34</v>
      </c>
      <c r="H25" s="8" t="s">
        <v>34</v>
      </c>
      <c r="I25" s="11" t="s">
        <v>34</v>
      </c>
      <c r="J25" s="8" t="s">
        <v>34</v>
      </c>
      <c r="K25" s="11" t="s">
        <v>34</v>
      </c>
      <c r="L25" s="8" t="s">
        <v>34</v>
      </c>
      <c r="Q25" s="11">
        <v>58</v>
      </c>
      <c r="R25" s="8" t="s">
        <v>34</v>
      </c>
    </row>
    <row r="26" spans="1:18" x14ac:dyDescent="0.25">
      <c r="A26" s="5">
        <v>3</v>
      </c>
      <c r="B26" s="8">
        <v>58</v>
      </c>
      <c r="C26" s="13">
        <f>AVERAGE(B24:B25)</f>
        <v>50.5</v>
      </c>
      <c r="D26" s="14">
        <f>ABS(B26-C26)</f>
        <v>7.5</v>
      </c>
      <c r="E26" s="11" t="s">
        <v>34</v>
      </c>
      <c r="F26" s="8" t="s">
        <v>34</v>
      </c>
      <c r="G26" s="11" t="s">
        <v>34</v>
      </c>
      <c r="H26" s="8" t="s">
        <v>34</v>
      </c>
      <c r="I26" s="11" t="s">
        <v>34</v>
      </c>
      <c r="J26" s="8" t="s">
        <v>34</v>
      </c>
      <c r="K26" s="11" t="s">
        <v>34</v>
      </c>
      <c r="L26" s="8" t="s">
        <v>34</v>
      </c>
      <c r="Q26" s="11">
        <v>37</v>
      </c>
      <c r="R26" s="8" t="s">
        <v>34</v>
      </c>
    </row>
    <row r="27" spans="1:18" x14ac:dyDescent="0.25">
      <c r="A27" s="5">
        <v>4</v>
      </c>
      <c r="B27" s="8">
        <v>37</v>
      </c>
      <c r="C27" s="13">
        <f t="shared" ref="C27:C33" si="0">AVERAGE(B25:B26)</f>
        <v>52</v>
      </c>
      <c r="D27" s="14">
        <f t="shared" ref="D27:D33" si="1">ABS(B27-C27)</f>
        <v>15</v>
      </c>
      <c r="E27" s="13" t="s">
        <v>34</v>
      </c>
      <c r="F27" s="14" t="s">
        <v>34</v>
      </c>
      <c r="G27" s="11" t="s">
        <v>34</v>
      </c>
      <c r="H27" s="8" t="s">
        <v>34</v>
      </c>
      <c r="I27" s="11" t="s">
        <v>34</v>
      </c>
      <c r="J27" s="8" t="s">
        <v>34</v>
      </c>
      <c r="K27" s="11" t="s">
        <v>34</v>
      </c>
      <c r="L27" s="8" t="s">
        <v>34</v>
      </c>
      <c r="Q27" s="11">
        <v>32</v>
      </c>
      <c r="R27" s="8" t="s">
        <v>34</v>
      </c>
    </row>
    <row r="28" spans="1:18" x14ac:dyDescent="0.25">
      <c r="A28" s="5">
        <v>5</v>
      </c>
      <c r="B28" s="8">
        <v>32</v>
      </c>
      <c r="C28" s="13">
        <f t="shared" si="0"/>
        <v>47.5</v>
      </c>
      <c r="D28" s="14">
        <f t="shared" si="1"/>
        <v>15.5</v>
      </c>
      <c r="E28" s="13">
        <f>AVERAGE(B24:B27)</f>
        <v>49</v>
      </c>
      <c r="F28" s="14">
        <f t="shared" ref="F28:F43" si="2">ABS(B28-E28)</f>
        <v>17</v>
      </c>
      <c r="G28" s="13" t="s">
        <v>34</v>
      </c>
      <c r="H28" s="14" t="s">
        <v>34</v>
      </c>
      <c r="I28" s="13" t="s">
        <v>34</v>
      </c>
      <c r="J28" s="14" t="s">
        <v>34</v>
      </c>
      <c r="K28" s="13" t="s">
        <v>34</v>
      </c>
      <c r="L28" s="14" t="s">
        <v>34</v>
      </c>
      <c r="Q28" s="11">
        <v>48</v>
      </c>
      <c r="R28" s="8" t="s">
        <v>34</v>
      </c>
    </row>
    <row r="29" spans="1:18" x14ac:dyDescent="0.25">
      <c r="A29" s="5">
        <v>6</v>
      </c>
      <c r="B29" s="8">
        <v>48</v>
      </c>
      <c r="C29" s="13">
        <f t="shared" si="0"/>
        <v>34.5</v>
      </c>
      <c r="D29" s="14">
        <f t="shared" si="1"/>
        <v>13.5</v>
      </c>
      <c r="E29" s="13">
        <f>AVERAGE(B25:B28)</f>
        <v>43.25</v>
      </c>
      <c r="F29" s="14">
        <f t="shared" si="2"/>
        <v>4.75</v>
      </c>
      <c r="G29" s="13">
        <f>AVERAGE(B25:B29)</f>
        <v>44.2</v>
      </c>
      <c r="H29" s="14">
        <f t="shared" ref="H29:H43" si="3">ABS(B29-G29)</f>
        <v>3.7999999999999972</v>
      </c>
      <c r="I29" s="13" t="s">
        <v>34</v>
      </c>
      <c r="J29" s="14" t="s">
        <v>34</v>
      </c>
      <c r="K29" s="13" t="s">
        <v>34</v>
      </c>
      <c r="L29" s="14" t="s">
        <v>34</v>
      </c>
      <c r="Q29" s="11">
        <v>67</v>
      </c>
      <c r="R29" s="8" t="s">
        <v>34</v>
      </c>
    </row>
    <row r="30" spans="1:18" x14ac:dyDescent="0.25">
      <c r="A30" s="5">
        <v>7</v>
      </c>
      <c r="B30" s="8">
        <v>67</v>
      </c>
      <c r="C30" s="13">
        <f t="shared" si="0"/>
        <v>40</v>
      </c>
      <c r="D30" s="14">
        <f t="shared" si="1"/>
        <v>27</v>
      </c>
      <c r="E30" s="13">
        <f>AVERAGE(B26:B29)</f>
        <v>43.75</v>
      </c>
      <c r="F30" s="14">
        <f t="shared" si="2"/>
        <v>23.25</v>
      </c>
      <c r="G30" s="13">
        <f>AVERAGE(B26:B30)</f>
        <v>48.4</v>
      </c>
      <c r="H30" s="14">
        <f t="shared" si="3"/>
        <v>18.600000000000001</v>
      </c>
      <c r="I30" s="13">
        <f t="shared" ref="I30:I43" si="4">AVERAGE(B24:B29)</f>
        <v>46</v>
      </c>
      <c r="J30" s="14">
        <f>ABS(B30-I30)</f>
        <v>21</v>
      </c>
      <c r="K30" s="13" t="s">
        <v>34</v>
      </c>
      <c r="L30" s="14" t="s">
        <v>34</v>
      </c>
      <c r="Q30" s="11">
        <v>68</v>
      </c>
      <c r="R30" s="8" t="s">
        <v>34</v>
      </c>
    </row>
    <row r="31" spans="1:18" x14ac:dyDescent="0.25">
      <c r="A31" s="5">
        <v>8</v>
      </c>
      <c r="B31" s="8">
        <v>68</v>
      </c>
      <c r="C31" s="13">
        <f t="shared" si="0"/>
        <v>57.5</v>
      </c>
      <c r="D31" s="14">
        <f t="shared" si="1"/>
        <v>10.5</v>
      </c>
      <c r="E31" s="13">
        <f>AVERAGE(B27:B30)</f>
        <v>46</v>
      </c>
      <c r="F31" s="14">
        <f t="shared" si="2"/>
        <v>22</v>
      </c>
      <c r="G31" s="13">
        <f>AVERAGE(B27:B31)</f>
        <v>50.4</v>
      </c>
      <c r="H31" s="14">
        <f t="shared" si="3"/>
        <v>17.600000000000001</v>
      </c>
      <c r="I31" s="13">
        <f t="shared" si="4"/>
        <v>48</v>
      </c>
      <c r="J31" s="14">
        <f>ABS(B31-I31)</f>
        <v>20</v>
      </c>
      <c r="K31" s="13" t="s">
        <v>34</v>
      </c>
      <c r="L31" s="14" t="s">
        <v>34</v>
      </c>
      <c r="Q31" s="11">
        <v>52</v>
      </c>
      <c r="R31" s="8">
        <v>51.375</v>
      </c>
    </row>
    <row r="32" spans="1:18" x14ac:dyDescent="0.25">
      <c r="A32" s="5">
        <v>9</v>
      </c>
      <c r="B32" s="8">
        <v>52</v>
      </c>
      <c r="C32" s="13">
        <f t="shared" si="0"/>
        <v>67.5</v>
      </c>
      <c r="D32" s="14">
        <f t="shared" si="1"/>
        <v>15.5</v>
      </c>
      <c r="E32" s="13">
        <f>AVERAGE(B28:B31)</f>
        <v>53.75</v>
      </c>
      <c r="F32" s="14">
        <f t="shared" si="2"/>
        <v>1.75</v>
      </c>
      <c r="G32" s="13">
        <f>AVERAGE(B28:B32)</f>
        <v>53.4</v>
      </c>
      <c r="H32" s="14">
        <f t="shared" si="3"/>
        <v>1.3999999999999986</v>
      </c>
      <c r="I32" s="13">
        <f t="shared" si="4"/>
        <v>51.666666666666664</v>
      </c>
      <c r="J32" s="14">
        <f>ABS(B32-I32)</f>
        <v>0.3333333333333357</v>
      </c>
      <c r="K32" s="13">
        <f>AVERAGE(B24:B31)</f>
        <v>51.375</v>
      </c>
      <c r="L32" s="14">
        <f t="shared" ref="L32:L37" si="5">ABS(B32-K32)</f>
        <v>0.625</v>
      </c>
      <c r="Q32" s="11">
        <v>42</v>
      </c>
      <c r="R32" s="8">
        <v>51</v>
      </c>
    </row>
    <row r="33" spans="1:18" x14ac:dyDescent="0.25">
      <c r="A33" s="5">
        <v>10</v>
      </c>
      <c r="B33" s="8">
        <v>42</v>
      </c>
      <c r="C33" s="13">
        <f t="shared" si="0"/>
        <v>60</v>
      </c>
      <c r="D33" s="14">
        <f t="shared" si="1"/>
        <v>18</v>
      </c>
      <c r="E33" s="13">
        <f t="shared" ref="E33:E38" si="6">AVERAGE(B29:B32)</f>
        <v>58.75</v>
      </c>
      <c r="F33" s="14">
        <f t="shared" si="2"/>
        <v>16.75</v>
      </c>
      <c r="G33" s="13">
        <f>AVERAGE(B29:B33)</f>
        <v>55.4</v>
      </c>
      <c r="H33" s="14">
        <f t="shared" si="3"/>
        <v>13.399999999999999</v>
      </c>
      <c r="I33" s="13">
        <f t="shared" si="4"/>
        <v>50.666666666666664</v>
      </c>
      <c r="J33" s="14">
        <f>ABS(B33-I33)</f>
        <v>8.6666666666666643</v>
      </c>
      <c r="K33" s="13">
        <f>AVERAGE(B25:B32)</f>
        <v>51</v>
      </c>
      <c r="L33" s="14">
        <f t="shared" si="5"/>
        <v>9</v>
      </c>
      <c r="Q33" s="11">
        <v>32</v>
      </c>
      <c r="R33" s="8">
        <v>50.5</v>
      </c>
    </row>
    <row r="34" spans="1:18" x14ac:dyDescent="0.25">
      <c r="A34" s="5">
        <v>11</v>
      </c>
      <c r="B34" s="8">
        <v>32</v>
      </c>
      <c r="C34" s="13">
        <f>AVERAGE(B32:B33)</f>
        <v>47</v>
      </c>
      <c r="D34" s="14">
        <f>ABS(B34-C34)</f>
        <v>15</v>
      </c>
      <c r="E34" s="13">
        <f t="shared" si="6"/>
        <v>57.25</v>
      </c>
      <c r="F34" s="14">
        <f t="shared" si="2"/>
        <v>25.25</v>
      </c>
      <c r="G34" s="13">
        <f t="shared" ref="G34:G40" si="7">AVERAGE(B29:B33)</f>
        <v>55.4</v>
      </c>
      <c r="H34" s="14">
        <f t="shared" si="3"/>
        <v>23.4</v>
      </c>
      <c r="I34" s="13">
        <f t="shared" si="4"/>
        <v>51.5</v>
      </c>
      <c r="J34" s="14">
        <f t="shared" ref="J34:J39" si="8">ABS(B34-I34)</f>
        <v>19.5</v>
      </c>
      <c r="K34" s="13">
        <f>AVERAGE(B26:B33)</f>
        <v>50.5</v>
      </c>
      <c r="L34" s="14">
        <f t="shared" si="5"/>
        <v>18.5</v>
      </c>
      <c r="Q34" s="11">
        <v>43</v>
      </c>
      <c r="R34" s="8">
        <v>47.25</v>
      </c>
    </row>
    <row r="35" spans="1:18" x14ac:dyDescent="0.25">
      <c r="A35" s="5">
        <v>12</v>
      </c>
      <c r="B35" s="8">
        <v>43</v>
      </c>
      <c r="C35" s="13">
        <f>AVERAGE(B33:B34)</f>
        <v>37</v>
      </c>
      <c r="D35" s="14">
        <f>ABS(B35-C35)</f>
        <v>6</v>
      </c>
      <c r="E35" s="13">
        <f t="shared" si="6"/>
        <v>48.5</v>
      </c>
      <c r="F35" s="14">
        <f t="shared" si="2"/>
        <v>5.5</v>
      </c>
      <c r="G35" s="13">
        <f t="shared" si="7"/>
        <v>52.2</v>
      </c>
      <c r="H35" s="14">
        <f t="shared" si="3"/>
        <v>9.2000000000000028</v>
      </c>
      <c r="I35" s="13">
        <f t="shared" si="4"/>
        <v>51.5</v>
      </c>
      <c r="J35" s="14">
        <f t="shared" si="8"/>
        <v>8.5</v>
      </c>
      <c r="K35" s="13">
        <f>AVERAGE(B27:B33,B34)</f>
        <v>47.25</v>
      </c>
      <c r="L35" s="14">
        <f t="shared" si="5"/>
        <v>4.25</v>
      </c>
      <c r="Q35" s="11">
        <v>37</v>
      </c>
      <c r="R35" s="8">
        <v>48</v>
      </c>
    </row>
    <row r="36" spans="1:18" x14ac:dyDescent="0.25">
      <c r="A36" s="5">
        <v>13</v>
      </c>
      <c r="B36" s="8">
        <v>37</v>
      </c>
      <c r="C36" s="13">
        <f>AVERAGE(B34:B35)</f>
        <v>37.5</v>
      </c>
      <c r="D36" s="14">
        <f>ABS(B36-C36)</f>
        <v>0.5</v>
      </c>
      <c r="E36" s="13">
        <f t="shared" si="6"/>
        <v>42.25</v>
      </c>
      <c r="F36" s="14">
        <f t="shared" si="2"/>
        <v>5.25</v>
      </c>
      <c r="G36" s="13">
        <f t="shared" si="7"/>
        <v>47.4</v>
      </c>
      <c r="H36" s="14">
        <f t="shared" si="3"/>
        <v>10.399999999999999</v>
      </c>
      <c r="I36" s="13">
        <f t="shared" si="4"/>
        <v>50.666666666666664</v>
      </c>
      <c r="J36" s="14">
        <f t="shared" si="8"/>
        <v>13.666666666666664</v>
      </c>
      <c r="K36" s="13">
        <f>AVERAGE(B28:B33,B34:B35)</f>
        <v>48</v>
      </c>
      <c r="L36" s="14">
        <f t="shared" si="5"/>
        <v>11</v>
      </c>
      <c r="Q36" s="11">
        <v>61</v>
      </c>
      <c r="R36" s="8">
        <v>51</v>
      </c>
    </row>
    <row r="37" spans="1:18" x14ac:dyDescent="0.25">
      <c r="A37" s="5">
        <v>14</v>
      </c>
      <c r="B37" s="8">
        <v>61</v>
      </c>
      <c r="C37" s="13">
        <f t="shared" ref="C37:C43" si="9">AVERAGE(B35:B36)</f>
        <v>40</v>
      </c>
      <c r="D37" s="14">
        <f t="shared" ref="D37:D43" si="10">ABS(B37-C37)</f>
        <v>21</v>
      </c>
      <c r="E37" s="13">
        <f t="shared" si="6"/>
        <v>38.5</v>
      </c>
      <c r="F37" s="14">
        <f t="shared" si="2"/>
        <v>22.5</v>
      </c>
      <c r="G37" s="13">
        <f t="shared" si="7"/>
        <v>41.2</v>
      </c>
      <c r="H37" s="14">
        <f t="shared" si="3"/>
        <v>19.799999999999997</v>
      </c>
      <c r="I37" s="13">
        <f t="shared" si="4"/>
        <v>45.666666666666664</v>
      </c>
      <c r="J37" s="14">
        <f t="shared" si="8"/>
        <v>15.333333333333336</v>
      </c>
      <c r="K37" s="13">
        <f>AVERAGE(B29:B33,B35:B36)</f>
        <v>51</v>
      </c>
      <c r="L37" s="14">
        <f t="shared" si="5"/>
        <v>10</v>
      </c>
      <c r="Q37" s="11">
        <v>45</v>
      </c>
      <c r="R37" s="8">
        <v>50.25</v>
      </c>
    </row>
    <row r="38" spans="1:18" x14ac:dyDescent="0.25">
      <c r="A38" s="5">
        <v>15</v>
      </c>
      <c r="B38" s="8">
        <v>45</v>
      </c>
      <c r="C38" s="13">
        <f t="shared" si="9"/>
        <v>49</v>
      </c>
      <c r="D38" s="14">
        <f t="shared" si="10"/>
        <v>4</v>
      </c>
      <c r="E38" s="13">
        <f t="shared" si="6"/>
        <v>43.25</v>
      </c>
      <c r="F38" s="14">
        <f t="shared" si="2"/>
        <v>1.75</v>
      </c>
      <c r="G38" s="13">
        <f t="shared" si="7"/>
        <v>43</v>
      </c>
      <c r="H38" s="14">
        <f t="shared" si="3"/>
        <v>2</v>
      </c>
      <c r="I38" s="13">
        <f t="shared" si="4"/>
        <v>44.5</v>
      </c>
      <c r="J38" s="14">
        <f t="shared" si="8"/>
        <v>0.5</v>
      </c>
      <c r="K38" s="13">
        <f>AVERAGE(B30:B33,B34:B37)</f>
        <v>50.25</v>
      </c>
      <c r="L38" s="14">
        <f t="shared" ref="L38:L43" si="11">ABS(B38-K38)</f>
        <v>5.25</v>
      </c>
      <c r="Q38" s="11">
        <v>48</v>
      </c>
      <c r="R38" s="8">
        <v>47.5</v>
      </c>
    </row>
    <row r="39" spans="1:18" x14ac:dyDescent="0.25">
      <c r="A39" s="5">
        <v>16</v>
      </c>
      <c r="B39" s="8">
        <v>48</v>
      </c>
      <c r="C39" s="13">
        <f t="shared" si="9"/>
        <v>53</v>
      </c>
      <c r="D39" s="14">
        <f t="shared" si="10"/>
        <v>5</v>
      </c>
      <c r="E39" s="13">
        <f>AVERAGE(B35:B38)</f>
        <v>46.5</v>
      </c>
      <c r="F39" s="14">
        <f t="shared" si="2"/>
        <v>1.5</v>
      </c>
      <c r="G39" s="13">
        <f t="shared" si="7"/>
        <v>43.6</v>
      </c>
      <c r="H39" s="14">
        <f t="shared" si="3"/>
        <v>4.3999999999999986</v>
      </c>
      <c r="I39" s="13">
        <f t="shared" si="4"/>
        <v>43.333333333333336</v>
      </c>
      <c r="J39" s="14">
        <f t="shared" si="8"/>
        <v>4.6666666666666643</v>
      </c>
      <c r="K39" s="13">
        <f>AVERAGE(B31:B33,B34:B38)</f>
        <v>47.5</v>
      </c>
      <c r="L39" s="14">
        <f t="shared" si="11"/>
        <v>0.5</v>
      </c>
      <c r="Q39" s="11">
        <v>53</v>
      </c>
      <c r="R39" s="8">
        <v>45</v>
      </c>
    </row>
    <row r="40" spans="1:18" x14ac:dyDescent="0.25">
      <c r="A40" s="5">
        <v>17</v>
      </c>
      <c r="B40" s="8">
        <v>53</v>
      </c>
      <c r="C40" s="13">
        <f t="shared" si="9"/>
        <v>46.5</v>
      </c>
      <c r="D40" s="14">
        <f t="shared" si="10"/>
        <v>6.5</v>
      </c>
      <c r="E40" s="13">
        <f>AVERAGE(B36:B39)</f>
        <v>47.75</v>
      </c>
      <c r="F40" s="14">
        <f t="shared" si="2"/>
        <v>5.25</v>
      </c>
      <c r="G40" s="13">
        <f t="shared" si="7"/>
        <v>46.8</v>
      </c>
      <c r="H40" s="14">
        <f t="shared" si="3"/>
        <v>6.2000000000000028</v>
      </c>
      <c r="I40" s="13">
        <f t="shared" si="4"/>
        <v>44.333333333333336</v>
      </c>
      <c r="J40" s="14">
        <f>ABS(B40-I40)</f>
        <v>8.6666666666666643</v>
      </c>
      <c r="K40" s="13">
        <f>AVERAGE(B32:B33,B34:B39)</f>
        <v>45</v>
      </c>
      <c r="L40" s="14">
        <f t="shared" si="11"/>
        <v>8</v>
      </c>
      <c r="Q40" s="11">
        <v>38</v>
      </c>
      <c r="R40" s="8">
        <v>45.125</v>
      </c>
    </row>
    <row r="41" spans="1:18" x14ac:dyDescent="0.25">
      <c r="A41" s="5">
        <v>18</v>
      </c>
      <c r="B41" s="8">
        <v>38</v>
      </c>
      <c r="C41" s="13">
        <f t="shared" si="9"/>
        <v>50.5</v>
      </c>
      <c r="D41" s="14">
        <f t="shared" si="10"/>
        <v>12.5</v>
      </c>
      <c r="E41" s="13">
        <f>AVERAGE(B37:B40)</f>
        <v>51.75</v>
      </c>
      <c r="F41" s="14">
        <f t="shared" si="2"/>
        <v>13.75</v>
      </c>
      <c r="G41" s="13">
        <f>AVERAGE(B36:B40)</f>
        <v>48.8</v>
      </c>
      <c r="H41" s="14">
        <f t="shared" si="3"/>
        <v>10.799999999999997</v>
      </c>
      <c r="I41" s="13">
        <f t="shared" si="4"/>
        <v>47.833333333333336</v>
      </c>
      <c r="J41" s="14">
        <f>ABS(B41-I41)</f>
        <v>9.8333333333333357</v>
      </c>
      <c r="K41" s="13">
        <f>AVERAGE(B33,B34:B40)</f>
        <v>45.125</v>
      </c>
      <c r="L41" s="14">
        <f t="shared" si="11"/>
        <v>7.125</v>
      </c>
      <c r="Q41" s="11">
        <v>57</v>
      </c>
      <c r="R41" s="8">
        <v>44.625</v>
      </c>
    </row>
    <row r="42" spans="1:18" x14ac:dyDescent="0.25">
      <c r="A42" s="5">
        <v>19</v>
      </c>
      <c r="B42" s="8">
        <v>57</v>
      </c>
      <c r="C42" s="13">
        <f t="shared" si="9"/>
        <v>45.5</v>
      </c>
      <c r="D42" s="14">
        <f t="shared" si="10"/>
        <v>11.5</v>
      </c>
      <c r="E42" s="13">
        <f>AVERAGE(B38:B41)</f>
        <v>46</v>
      </c>
      <c r="F42" s="14">
        <f t="shared" si="2"/>
        <v>11</v>
      </c>
      <c r="G42" s="13">
        <f>AVERAGE(B37:B41)</f>
        <v>49</v>
      </c>
      <c r="H42" s="14">
        <f t="shared" si="3"/>
        <v>8</v>
      </c>
      <c r="I42" s="13">
        <f t="shared" si="4"/>
        <v>47</v>
      </c>
      <c r="J42" s="14">
        <f>ABS(B42-I42)</f>
        <v>10</v>
      </c>
      <c r="K42" s="13">
        <f>AVERAGE(B34:B41)</f>
        <v>44.625</v>
      </c>
      <c r="L42" s="14">
        <f t="shared" si="11"/>
        <v>12.375</v>
      </c>
      <c r="Q42" s="11">
        <v>40</v>
      </c>
      <c r="R42" s="8">
        <v>47.75</v>
      </c>
    </row>
    <row r="43" spans="1:18" ht="15.75" thickBot="1" x14ac:dyDescent="0.3">
      <c r="A43" s="6">
        <v>20</v>
      </c>
      <c r="B43" s="10">
        <v>40</v>
      </c>
      <c r="C43" s="13">
        <f t="shared" si="9"/>
        <v>47.5</v>
      </c>
      <c r="D43" s="14">
        <f t="shared" si="10"/>
        <v>7.5</v>
      </c>
      <c r="E43" s="13">
        <f>AVERAGE(B39:B42)</f>
        <v>49</v>
      </c>
      <c r="F43" s="14">
        <f t="shared" si="2"/>
        <v>9</v>
      </c>
      <c r="G43" s="13">
        <f>AVERAGE(B38:B42)</f>
        <v>48.2</v>
      </c>
      <c r="H43" s="14">
        <f t="shared" si="3"/>
        <v>8.2000000000000028</v>
      </c>
      <c r="I43" s="13">
        <f t="shared" si="4"/>
        <v>50.333333333333336</v>
      </c>
      <c r="J43" s="14">
        <f>ABS(B43-I43)</f>
        <v>10.333333333333336</v>
      </c>
      <c r="K43" s="13">
        <f>AVERAGE(B35:B42)</f>
        <v>47.75</v>
      </c>
      <c r="L43" s="14">
        <f t="shared" si="11"/>
        <v>7.75</v>
      </c>
      <c r="Q43" s="11"/>
      <c r="R43" s="8">
        <v>47.375</v>
      </c>
    </row>
    <row r="44" spans="1:18" ht="15.75" thickBot="1" x14ac:dyDescent="0.3">
      <c r="A44" s="306" t="s">
        <v>6</v>
      </c>
      <c r="B44" s="307"/>
      <c r="C44" s="304">
        <f>AVERAGE(D25:D33)</f>
        <v>15.3125</v>
      </c>
      <c r="D44" s="305"/>
      <c r="E44" s="304">
        <f>AVERAGE(F28:F33)</f>
        <v>14.25</v>
      </c>
      <c r="F44" s="305"/>
      <c r="G44" s="304">
        <f>AVERAGE(H29:H33)</f>
        <v>10.959999999999999</v>
      </c>
      <c r="H44" s="305"/>
      <c r="I44" s="304">
        <f>AVERAGE(J30:J33)</f>
        <v>12.5</v>
      </c>
      <c r="J44" s="305"/>
      <c r="K44" s="310">
        <f>AVERAGE(L32:L33)</f>
        <v>4.8125</v>
      </c>
      <c r="L44" s="311"/>
      <c r="Q44" s="11"/>
      <c r="R44" s="8">
        <v>48.671875</v>
      </c>
    </row>
    <row r="45" spans="1:18" ht="15.75" thickBot="1" x14ac:dyDescent="0.3">
      <c r="A45" s="306" t="s">
        <v>6</v>
      </c>
      <c r="B45" s="307"/>
      <c r="C45" s="304">
        <f>AVERAGE(D36:D43)</f>
        <v>8.5625</v>
      </c>
      <c r="D45" s="305"/>
      <c r="E45" s="304">
        <f>AVERAGE(F37:F43)</f>
        <v>9.25</v>
      </c>
      <c r="F45" s="305"/>
      <c r="G45" s="304">
        <f>AVERAGE(H39:H43)</f>
        <v>7.5200000000000005</v>
      </c>
      <c r="H45" s="305"/>
      <c r="I45" s="304">
        <f>AVERAGE(J40:J43)</f>
        <v>9.7083333333333339</v>
      </c>
      <c r="J45" s="305"/>
      <c r="K45" s="310">
        <f>AVERAGE(L34:L43)</f>
        <v>8.4749999999999996</v>
      </c>
      <c r="L45" s="311"/>
      <c r="Q45" s="11"/>
      <c r="R45" s="8">
        <v>47.130859375</v>
      </c>
    </row>
    <row r="46" spans="1:18" ht="15.75" thickBot="1" x14ac:dyDescent="0.3">
      <c r="A46" s="306" t="s">
        <v>86</v>
      </c>
      <c r="B46" s="307"/>
      <c r="C46" s="304">
        <f>AVERAGE(D24:D43)</f>
        <v>11.777777777777779</v>
      </c>
      <c r="D46" s="305"/>
      <c r="E46" s="304">
        <f>AVERAGE(F24:F43)</f>
        <v>11.640625</v>
      </c>
      <c r="F46" s="305"/>
      <c r="G46" s="304">
        <f>AVERAGE(H24:H43)</f>
        <v>10.479999999999999</v>
      </c>
      <c r="H46" s="305"/>
      <c r="I46" s="304">
        <f>AVERAGE(J24:J43)</f>
        <v>10.785714285714286</v>
      </c>
      <c r="J46" s="305"/>
      <c r="K46" s="310">
        <f>AVERAGE(L24:L43)</f>
        <v>7.864583333333333</v>
      </c>
      <c r="L46" s="311"/>
      <c r="Q46" s="11"/>
      <c r="R46" s="8">
        <v>47.397216796875</v>
      </c>
    </row>
    <row r="47" spans="1:18" ht="15.75" thickBot="1" x14ac:dyDescent="0.3">
      <c r="A47" s="24"/>
      <c r="B47" s="24"/>
      <c r="C47" s="25"/>
      <c r="D47" s="25"/>
      <c r="E47" s="25"/>
      <c r="F47" s="25"/>
      <c r="G47" s="25"/>
      <c r="H47" s="25"/>
      <c r="I47" s="25"/>
      <c r="J47" s="25"/>
      <c r="K47" s="25"/>
      <c r="L47" s="25"/>
      <c r="Q47" s="27"/>
      <c r="R47" s="10">
        <v>47.321868896484375</v>
      </c>
    </row>
    <row r="48" spans="1:18" ht="15.75" thickBot="1" x14ac:dyDescent="0.3">
      <c r="A48" s="77" t="s">
        <v>0</v>
      </c>
      <c r="B48" s="60" t="s">
        <v>42</v>
      </c>
      <c r="C48" s="25"/>
      <c r="D48" s="25"/>
      <c r="E48" s="25"/>
      <c r="F48" s="25"/>
      <c r="G48" s="25"/>
      <c r="H48" s="25"/>
      <c r="I48" s="25"/>
      <c r="J48" s="25"/>
      <c r="K48" s="25"/>
      <c r="L48" s="25"/>
    </row>
    <row r="49" spans="1:24" x14ac:dyDescent="0.25">
      <c r="A49" s="106">
        <v>21</v>
      </c>
      <c r="B49" s="104">
        <f>AVERAGE(B36:B43)</f>
        <v>47.375</v>
      </c>
      <c r="C49" s="25"/>
      <c r="D49" s="25"/>
      <c r="E49" s="25"/>
      <c r="F49" s="25"/>
      <c r="G49" s="25"/>
      <c r="H49" s="25"/>
      <c r="I49" s="25"/>
      <c r="J49" s="25"/>
      <c r="L49" s="25"/>
    </row>
    <row r="50" spans="1:24" x14ac:dyDescent="0.25">
      <c r="A50" s="106">
        <v>22</v>
      </c>
      <c r="B50" s="104">
        <f>AVERAGE(B37:B43,B49)</f>
        <v>48.671875</v>
      </c>
      <c r="C50" s="25"/>
      <c r="D50" s="25"/>
      <c r="E50" s="25"/>
      <c r="F50" s="25"/>
      <c r="G50" s="25"/>
      <c r="H50" s="25"/>
      <c r="I50" s="25"/>
      <c r="J50" s="25"/>
      <c r="L50" s="25"/>
    </row>
    <row r="51" spans="1:24" x14ac:dyDescent="0.25">
      <c r="A51" s="106">
        <v>23</v>
      </c>
      <c r="B51" s="104">
        <f>AVERAGE(B38:B43,B49:B50)</f>
        <v>47.130859375</v>
      </c>
      <c r="C51" s="25"/>
      <c r="D51" s="25"/>
      <c r="E51" s="25"/>
      <c r="F51" s="25"/>
      <c r="G51" s="25"/>
      <c r="H51" s="25"/>
      <c r="I51" s="25"/>
      <c r="J51" s="25"/>
      <c r="L51" s="25"/>
    </row>
    <row r="52" spans="1:24" x14ac:dyDescent="0.25">
      <c r="A52" s="106">
        <v>24</v>
      </c>
      <c r="B52" s="104">
        <f>AVERAGE(B39:B43,B49:B51)</f>
        <v>47.397216796875</v>
      </c>
      <c r="C52" s="25"/>
      <c r="D52" s="25"/>
      <c r="E52" s="25"/>
      <c r="F52" s="25"/>
      <c r="G52" s="25"/>
      <c r="H52" s="25"/>
      <c r="I52" s="25"/>
      <c r="J52" s="25"/>
      <c r="L52" s="25"/>
    </row>
    <row r="53" spans="1:24" ht="15.75" thickBot="1" x14ac:dyDescent="0.3">
      <c r="A53" s="107">
        <v>25</v>
      </c>
      <c r="B53" s="105">
        <f>AVERAGE(B40:B43,B49:B52)</f>
        <v>47.321868896484375</v>
      </c>
      <c r="J53" s="15"/>
    </row>
    <row r="54" spans="1:24" ht="15.75" thickBot="1" x14ac:dyDescent="0.3"/>
    <row r="55" spans="1:24" ht="15.75" thickBot="1" x14ac:dyDescent="0.3">
      <c r="A55" s="312" t="s">
        <v>8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313"/>
      <c r="X55" s="314"/>
    </row>
    <row r="56" spans="1:24" ht="15.75" thickBot="1" x14ac:dyDescent="0.3">
      <c r="A56" s="12">
        <v>0.2</v>
      </c>
      <c r="B56" s="17" t="s">
        <v>33</v>
      </c>
      <c r="C56" s="12">
        <v>0.5</v>
      </c>
      <c r="D56" s="17" t="s">
        <v>33</v>
      </c>
      <c r="E56" s="12">
        <v>0.8</v>
      </c>
      <c r="F56" s="17" t="s">
        <v>33</v>
      </c>
      <c r="G56" s="12">
        <v>0.7</v>
      </c>
      <c r="H56" s="17" t="s">
        <v>33</v>
      </c>
      <c r="I56" s="12">
        <v>0.75</v>
      </c>
      <c r="J56" s="17" t="s">
        <v>33</v>
      </c>
      <c r="K56" s="12">
        <v>0.69</v>
      </c>
      <c r="L56" s="17" t="s">
        <v>33</v>
      </c>
      <c r="M56" s="12">
        <v>0.68</v>
      </c>
      <c r="N56" s="17" t="s">
        <v>33</v>
      </c>
      <c r="O56" s="12">
        <v>0.65</v>
      </c>
      <c r="P56" s="17" t="s">
        <v>33</v>
      </c>
      <c r="Q56" s="12">
        <v>0.62</v>
      </c>
      <c r="R56" s="17" t="s">
        <v>33</v>
      </c>
      <c r="S56" s="12">
        <v>0.64</v>
      </c>
      <c r="T56" s="17" t="s">
        <v>33</v>
      </c>
      <c r="U56" s="16">
        <v>0.66</v>
      </c>
      <c r="V56" s="17" t="s">
        <v>33</v>
      </c>
      <c r="W56" s="12">
        <v>0.67</v>
      </c>
      <c r="X56" s="17" t="s">
        <v>33</v>
      </c>
    </row>
    <row r="57" spans="1:24" x14ac:dyDescent="0.25">
      <c r="A57" s="11" t="s">
        <v>34</v>
      </c>
      <c r="B57" s="8" t="s">
        <v>34</v>
      </c>
      <c r="C57" s="11" t="s">
        <v>34</v>
      </c>
      <c r="D57" s="8" t="s">
        <v>34</v>
      </c>
      <c r="E57" s="11" t="s">
        <v>34</v>
      </c>
      <c r="F57" s="8" t="s">
        <v>34</v>
      </c>
      <c r="G57" s="11" t="s">
        <v>34</v>
      </c>
      <c r="H57" s="8" t="s">
        <v>34</v>
      </c>
      <c r="I57" s="11" t="s">
        <v>34</v>
      </c>
      <c r="J57" s="8" t="s">
        <v>34</v>
      </c>
      <c r="K57" s="11" t="s">
        <v>34</v>
      </c>
      <c r="L57" s="8" t="s">
        <v>34</v>
      </c>
      <c r="M57" s="11" t="s">
        <v>34</v>
      </c>
      <c r="N57" s="8" t="s">
        <v>34</v>
      </c>
      <c r="O57" s="11" t="s">
        <v>34</v>
      </c>
      <c r="P57" s="8" t="s">
        <v>34</v>
      </c>
      <c r="Q57" s="11" t="s">
        <v>34</v>
      </c>
      <c r="R57" s="8" t="s">
        <v>34</v>
      </c>
      <c r="S57" s="11" t="s">
        <v>34</v>
      </c>
      <c r="T57" s="8" t="s">
        <v>34</v>
      </c>
      <c r="U57" s="11" t="s">
        <v>34</v>
      </c>
      <c r="V57" s="8" t="s">
        <v>34</v>
      </c>
      <c r="W57" s="11" t="s">
        <v>34</v>
      </c>
      <c r="X57" s="8" t="s">
        <v>34</v>
      </c>
    </row>
    <row r="58" spans="1:24" x14ac:dyDescent="0.25">
      <c r="A58" s="13">
        <f>$B$24</f>
        <v>55</v>
      </c>
      <c r="B58" s="14">
        <f t="shared" ref="B58:B76" si="12">ABS($B25-A58)</f>
        <v>9</v>
      </c>
      <c r="C58" s="13">
        <f>$B$24</f>
        <v>55</v>
      </c>
      <c r="D58" s="14">
        <f t="shared" ref="D58:D76" si="13">ABS($B25-C58)</f>
        <v>9</v>
      </c>
      <c r="E58" s="13">
        <f>$B$24</f>
        <v>55</v>
      </c>
      <c r="F58" s="14">
        <f t="shared" ref="F58:F76" si="14">ABS($B25-E58)</f>
        <v>9</v>
      </c>
      <c r="G58" s="13">
        <f>$B$24</f>
        <v>55</v>
      </c>
      <c r="H58" s="14">
        <f t="shared" ref="H58:H76" si="15">ABS($B25-G58)</f>
        <v>9</v>
      </c>
      <c r="I58" s="13">
        <f>$B$24</f>
        <v>55</v>
      </c>
      <c r="J58" s="14">
        <f t="shared" ref="J58:J76" si="16">ABS($B25-I58)</f>
        <v>9</v>
      </c>
      <c r="K58" s="13">
        <f>$B$24</f>
        <v>55</v>
      </c>
      <c r="L58" s="14">
        <f t="shared" ref="L58:L76" si="17">ABS($B25-K58)</f>
        <v>9</v>
      </c>
      <c r="M58" s="13">
        <f>$B$24</f>
        <v>55</v>
      </c>
      <c r="N58" s="14">
        <f t="shared" ref="N58:N66" si="18">ABS($B25-M58)</f>
        <v>9</v>
      </c>
      <c r="O58" s="13">
        <f>$B$24</f>
        <v>55</v>
      </c>
      <c r="P58" s="14">
        <f t="shared" ref="P58:P66" si="19">ABS($B25-O58)</f>
        <v>9</v>
      </c>
      <c r="Q58" s="13">
        <f>$B$24</f>
        <v>55</v>
      </c>
      <c r="R58" s="14">
        <f t="shared" ref="R58:R66" si="20">ABS($B25-Q58)</f>
        <v>9</v>
      </c>
      <c r="S58" s="13">
        <f>$B$24</f>
        <v>55</v>
      </c>
      <c r="T58" s="14">
        <f t="shared" ref="T58:T66" si="21">ABS($B25-S58)</f>
        <v>9</v>
      </c>
      <c r="U58" s="13">
        <f>$B$24</f>
        <v>55</v>
      </c>
      <c r="V58" s="14">
        <f t="shared" ref="V58:V66" si="22">ABS($B25-U58)</f>
        <v>9</v>
      </c>
      <c r="W58" s="13">
        <f>$B$24</f>
        <v>55</v>
      </c>
      <c r="X58" s="14">
        <f t="shared" ref="X58:X66" si="23">ABS($B25-W58)</f>
        <v>9</v>
      </c>
    </row>
    <row r="59" spans="1:24" x14ac:dyDescent="0.25">
      <c r="A59" s="13">
        <f t="shared" ref="A59:A66" si="24">A$56*$B25+(1-A$56)*A58</f>
        <v>53.2</v>
      </c>
      <c r="B59" s="14">
        <f t="shared" si="12"/>
        <v>4.7999999999999972</v>
      </c>
      <c r="C59" s="13">
        <f t="shared" ref="C59:C66" si="25">C$56*$B25+(1-C$56)*C58</f>
        <v>50.5</v>
      </c>
      <c r="D59" s="14">
        <f t="shared" si="13"/>
        <v>7.5</v>
      </c>
      <c r="E59" s="13">
        <f t="shared" ref="E59:E66" si="26">E$56*$B25+(1-E$56)*E58</f>
        <v>47.800000000000004</v>
      </c>
      <c r="F59" s="14">
        <f t="shared" si="14"/>
        <v>10.199999999999996</v>
      </c>
      <c r="G59" s="13">
        <f t="shared" ref="G59:G66" si="27">G$56*$B25+(1-G$56)*G58</f>
        <v>48.7</v>
      </c>
      <c r="H59" s="14">
        <f t="shared" si="15"/>
        <v>9.2999999999999972</v>
      </c>
      <c r="I59" s="13">
        <f t="shared" ref="I59:I66" si="28">I$56*$B25+(1-I$56)*I58</f>
        <v>48.25</v>
      </c>
      <c r="J59" s="14">
        <f t="shared" si="16"/>
        <v>9.75</v>
      </c>
      <c r="K59" s="13">
        <f t="shared" ref="K59:K66" si="29">K$56*$B25+(1-K$56)*K58</f>
        <v>48.790000000000006</v>
      </c>
      <c r="L59" s="14">
        <f t="shared" si="17"/>
        <v>9.2099999999999937</v>
      </c>
      <c r="M59" s="13">
        <f t="shared" ref="M59:M66" si="30">M$56*$B25+(1-M$56)*M58</f>
        <v>48.879999999999995</v>
      </c>
      <c r="N59" s="14">
        <f t="shared" si="18"/>
        <v>9.1200000000000045</v>
      </c>
      <c r="O59" s="13">
        <f t="shared" ref="O59:O66" si="31">O$56*$B25+(1-O$56)*O58</f>
        <v>49.150000000000006</v>
      </c>
      <c r="P59" s="14">
        <f t="shared" si="19"/>
        <v>8.8499999999999943</v>
      </c>
      <c r="Q59" s="13">
        <f t="shared" ref="Q59:Q66" si="32">Q$56*$B25+(1-Q$56)*Q58</f>
        <v>49.42</v>
      </c>
      <c r="R59" s="14">
        <f t="shared" si="20"/>
        <v>8.5799999999999983</v>
      </c>
      <c r="S59" s="13">
        <f t="shared" ref="S59:S66" si="33">S$56*$B25+(1-S$56)*S58</f>
        <v>49.24</v>
      </c>
      <c r="T59" s="14">
        <f t="shared" si="21"/>
        <v>8.759999999999998</v>
      </c>
      <c r="U59" s="13">
        <f t="shared" ref="U59:U66" si="34">U$56*$B25+(1-U$56)*U58</f>
        <v>49.06</v>
      </c>
      <c r="V59" s="14">
        <f t="shared" si="22"/>
        <v>8.9399999999999977</v>
      </c>
      <c r="W59" s="13">
        <f t="shared" ref="W59:W66" si="35">W$56*$B25+(1-W$56)*W58</f>
        <v>48.97</v>
      </c>
      <c r="X59" s="14">
        <f t="shared" si="23"/>
        <v>9.0300000000000011</v>
      </c>
    </row>
    <row r="60" spans="1:24" x14ac:dyDescent="0.25">
      <c r="A60" s="13">
        <f t="shared" si="24"/>
        <v>54.160000000000004</v>
      </c>
      <c r="B60" s="14">
        <f t="shared" si="12"/>
        <v>17.160000000000004</v>
      </c>
      <c r="C60" s="13">
        <f t="shared" si="25"/>
        <v>54.25</v>
      </c>
      <c r="D60" s="14">
        <f t="shared" si="13"/>
        <v>17.25</v>
      </c>
      <c r="E60" s="13">
        <f t="shared" si="26"/>
        <v>55.960000000000008</v>
      </c>
      <c r="F60" s="14">
        <f t="shared" si="14"/>
        <v>18.960000000000008</v>
      </c>
      <c r="G60" s="13">
        <f t="shared" si="27"/>
        <v>55.209999999999994</v>
      </c>
      <c r="H60" s="14">
        <f t="shared" si="15"/>
        <v>18.209999999999994</v>
      </c>
      <c r="I60" s="13">
        <f t="shared" si="28"/>
        <v>55.5625</v>
      </c>
      <c r="J60" s="14">
        <f t="shared" si="16"/>
        <v>18.5625</v>
      </c>
      <c r="K60" s="13">
        <f t="shared" si="29"/>
        <v>55.1449</v>
      </c>
      <c r="L60" s="14">
        <f t="shared" si="17"/>
        <v>18.1449</v>
      </c>
      <c r="M60" s="13">
        <f t="shared" si="30"/>
        <v>55.081600000000002</v>
      </c>
      <c r="N60" s="14">
        <f t="shared" si="18"/>
        <v>18.081600000000002</v>
      </c>
      <c r="O60" s="13">
        <f t="shared" si="31"/>
        <v>54.902500000000003</v>
      </c>
      <c r="P60" s="14">
        <f t="shared" si="19"/>
        <v>17.902500000000003</v>
      </c>
      <c r="Q60" s="13">
        <f t="shared" si="32"/>
        <v>54.739600000000003</v>
      </c>
      <c r="R60" s="14">
        <f t="shared" si="20"/>
        <v>17.739600000000003</v>
      </c>
      <c r="S60" s="13">
        <f t="shared" si="33"/>
        <v>54.846400000000003</v>
      </c>
      <c r="T60" s="14">
        <f t="shared" si="21"/>
        <v>17.846400000000003</v>
      </c>
      <c r="U60" s="13">
        <f t="shared" si="34"/>
        <v>54.9604</v>
      </c>
      <c r="V60" s="14">
        <f t="shared" si="22"/>
        <v>17.9604</v>
      </c>
      <c r="W60" s="13">
        <f t="shared" si="35"/>
        <v>55.020099999999999</v>
      </c>
      <c r="X60" s="14">
        <f t="shared" si="23"/>
        <v>18.020099999999999</v>
      </c>
    </row>
    <row r="61" spans="1:24" x14ac:dyDescent="0.25">
      <c r="A61" s="13">
        <f t="shared" si="24"/>
        <v>50.728000000000002</v>
      </c>
      <c r="B61" s="14">
        <f t="shared" si="12"/>
        <v>18.728000000000002</v>
      </c>
      <c r="C61" s="13">
        <f t="shared" si="25"/>
        <v>45.625</v>
      </c>
      <c r="D61" s="14">
        <f t="shared" si="13"/>
        <v>13.625</v>
      </c>
      <c r="E61" s="13">
        <f t="shared" si="26"/>
        <v>40.792000000000002</v>
      </c>
      <c r="F61" s="14">
        <f t="shared" si="14"/>
        <v>8.7920000000000016</v>
      </c>
      <c r="G61" s="13">
        <f t="shared" si="27"/>
        <v>42.462999999999994</v>
      </c>
      <c r="H61" s="14">
        <f t="shared" si="15"/>
        <v>10.462999999999994</v>
      </c>
      <c r="I61" s="13">
        <f t="shared" si="28"/>
        <v>41.640625</v>
      </c>
      <c r="J61" s="14">
        <f t="shared" si="16"/>
        <v>9.640625</v>
      </c>
      <c r="K61" s="13">
        <f t="shared" si="29"/>
        <v>42.624919000000006</v>
      </c>
      <c r="L61" s="14">
        <f t="shared" si="17"/>
        <v>10.624919000000006</v>
      </c>
      <c r="M61" s="13">
        <f t="shared" si="30"/>
        <v>42.786112000000003</v>
      </c>
      <c r="N61" s="14">
        <f t="shared" si="18"/>
        <v>10.786112000000003</v>
      </c>
      <c r="O61" s="13">
        <f t="shared" si="31"/>
        <v>43.265875000000001</v>
      </c>
      <c r="P61" s="14">
        <f t="shared" si="19"/>
        <v>11.265875000000001</v>
      </c>
      <c r="Q61" s="13">
        <f t="shared" si="32"/>
        <v>43.741048000000006</v>
      </c>
      <c r="R61" s="14">
        <f t="shared" si="20"/>
        <v>11.741048000000006</v>
      </c>
      <c r="S61" s="13">
        <f t="shared" si="33"/>
        <v>43.424703999999998</v>
      </c>
      <c r="T61" s="14">
        <f t="shared" si="21"/>
        <v>11.424703999999998</v>
      </c>
      <c r="U61" s="13">
        <f t="shared" si="34"/>
        <v>43.106535999999998</v>
      </c>
      <c r="V61" s="14">
        <f t="shared" si="22"/>
        <v>11.106535999999998</v>
      </c>
      <c r="W61" s="13">
        <f t="shared" si="35"/>
        <v>42.946633000000006</v>
      </c>
      <c r="X61" s="14">
        <f t="shared" si="23"/>
        <v>10.946633000000006</v>
      </c>
    </row>
    <row r="62" spans="1:24" x14ac:dyDescent="0.25">
      <c r="A62" s="13">
        <f t="shared" si="24"/>
        <v>46.982400000000005</v>
      </c>
      <c r="B62" s="14">
        <f t="shared" si="12"/>
        <v>1.0175999999999945</v>
      </c>
      <c r="C62" s="13">
        <f t="shared" si="25"/>
        <v>38.8125</v>
      </c>
      <c r="D62" s="14">
        <f t="shared" si="13"/>
        <v>9.1875</v>
      </c>
      <c r="E62" s="13">
        <f t="shared" si="26"/>
        <v>33.758400000000002</v>
      </c>
      <c r="F62" s="14">
        <f t="shared" si="14"/>
        <v>14.241599999999998</v>
      </c>
      <c r="G62" s="13">
        <f t="shared" si="27"/>
        <v>35.1389</v>
      </c>
      <c r="H62" s="14">
        <f t="shared" si="15"/>
        <v>12.8611</v>
      </c>
      <c r="I62" s="13">
        <f t="shared" si="28"/>
        <v>34.41015625</v>
      </c>
      <c r="J62" s="14">
        <f t="shared" si="16"/>
        <v>13.58984375</v>
      </c>
      <c r="K62" s="13">
        <f t="shared" si="29"/>
        <v>35.29372489</v>
      </c>
      <c r="L62" s="14">
        <f t="shared" si="17"/>
        <v>12.70627511</v>
      </c>
      <c r="M62" s="13">
        <f t="shared" si="30"/>
        <v>35.451555839999997</v>
      </c>
      <c r="N62" s="14">
        <f t="shared" si="18"/>
        <v>12.548444160000003</v>
      </c>
      <c r="O62" s="13">
        <f t="shared" si="31"/>
        <v>35.943056249999998</v>
      </c>
      <c r="P62" s="14">
        <f t="shared" si="19"/>
        <v>12.056943750000002</v>
      </c>
      <c r="Q62" s="13">
        <f t="shared" si="32"/>
        <v>36.461598240000001</v>
      </c>
      <c r="R62" s="14">
        <f t="shared" si="20"/>
        <v>11.538401759999999</v>
      </c>
      <c r="S62" s="13">
        <f t="shared" si="33"/>
        <v>36.112893440000001</v>
      </c>
      <c r="T62" s="14">
        <f t="shared" si="21"/>
        <v>11.887106559999999</v>
      </c>
      <c r="U62" s="13">
        <f t="shared" si="34"/>
        <v>35.776222239999996</v>
      </c>
      <c r="V62" s="14">
        <f t="shared" si="22"/>
        <v>12.223777760000004</v>
      </c>
      <c r="W62" s="13">
        <f t="shared" si="35"/>
        <v>35.612388890000005</v>
      </c>
      <c r="X62" s="14">
        <f t="shared" si="23"/>
        <v>12.387611109999995</v>
      </c>
    </row>
    <row r="63" spans="1:24" x14ac:dyDescent="0.25">
      <c r="A63" s="13">
        <f t="shared" si="24"/>
        <v>47.18592000000001</v>
      </c>
      <c r="B63" s="14">
        <f t="shared" si="12"/>
        <v>19.81407999999999</v>
      </c>
      <c r="C63" s="13">
        <f t="shared" si="25"/>
        <v>43.40625</v>
      </c>
      <c r="D63" s="14">
        <f t="shared" si="13"/>
        <v>23.59375</v>
      </c>
      <c r="E63" s="13">
        <f t="shared" si="26"/>
        <v>45.151680000000006</v>
      </c>
      <c r="F63" s="14">
        <f t="shared" si="14"/>
        <v>21.848319999999994</v>
      </c>
      <c r="G63" s="13">
        <f t="shared" si="27"/>
        <v>44.141669999999998</v>
      </c>
      <c r="H63" s="14">
        <f t="shared" si="15"/>
        <v>22.858330000000002</v>
      </c>
      <c r="I63" s="13">
        <f t="shared" si="28"/>
        <v>44.6025390625</v>
      </c>
      <c r="J63" s="14">
        <f t="shared" si="16"/>
        <v>22.3974609375</v>
      </c>
      <c r="K63" s="13">
        <f t="shared" si="29"/>
        <v>44.061054715899999</v>
      </c>
      <c r="L63" s="14">
        <f t="shared" si="17"/>
        <v>22.938945284100001</v>
      </c>
      <c r="M63" s="13">
        <f t="shared" si="30"/>
        <v>43.984497868799998</v>
      </c>
      <c r="N63" s="14">
        <f t="shared" si="18"/>
        <v>23.015502131200002</v>
      </c>
      <c r="O63" s="13">
        <f t="shared" si="31"/>
        <v>43.780069687500003</v>
      </c>
      <c r="P63" s="14">
        <f t="shared" si="19"/>
        <v>23.219930312499997</v>
      </c>
      <c r="Q63" s="13">
        <f t="shared" si="32"/>
        <v>43.615407331199997</v>
      </c>
      <c r="R63" s="14">
        <f t="shared" si="20"/>
        <v>23.384592668800003</v>
      </c>
      <c r="S63" s="13">
        <f t="shared" si="33"/>
        <v>43.720641638399997</v>
      </c>
      <c r="T63" s="14">
        <f t="shared" si="21"/>
        <v>23.279358361600003</v>
      </c>
      <c r="U63" s="13">
        <f t="shared" si="34"/>
        <v>43.843915561599999</v>
      </c>
      <c r="V63" s="14">
        <f t="shared" si="22"/>
        <v>23.156084438400001</v>
      </c>
      <c r="W63" s="13">
        <f t="shared" si="35"/>
        <v>43.912088333700005</v>
      </c>
      <c r="X63" s="14">
        <f t="shared" si="23"/>
        <v>23.087911666299995</v>
      </c>
    </row>
    <row r="64" spans="1:24" x14ac:dyDescent="0.25">
      <c r="A64" s="13">
        <f t="shared" si="24"/>
        <v>51.148736000000007</v>
      </c>
      <c r="B64" s="14">
        <f t="shared" si="12"/>
        <v>16.851263999999993</v>
      </c>
      <c r="C64" s="13">
        <f t="shared" si="25"/>
        <v>55.203125</v>
      </c>
      <c r="D64" s="14">
        <f t="shared" si="13"/>
        <v>12.796875</v>
      </c>
      <c r="E64" s="13">
        <f t="shared" si="26"/>
        <v>62.630336</v>
      </c>
      <c r="F64" s="14">
        <f t="shared" si="14"/>
        <v>5.3696640000000002</v>
      </c>
      <c r="G64" s="13">
        <f t="shared" si="27"/>
        <v>60.142500999999996</v>
      </c>
      <c r="H64" s="14">
        <f t="shared" si="15"/>
        <v>7.8574990000000042</v>
      </c>
      <c r="I64" s="13">
        <f t="shared" si="28"/>
        <v>61.400634765625</v>
      </c>
      <c r="J64" s="14">
        <f t="shared" si="16"/>
        <v>6.599365234375</v>
      </c>
      <c r="K64" s="13">
        <f t="shared" si="29"/>
        <v>59.888926961929002</v>
      </c>
      <c r="L64" s="14">
        <f t="shared" si="17"/>
        <v>8.1110730380709981</v>
      </c>
      <c r="M64" s="13">
        <f t="shared" si="30"/>
        <v>59.635039318015998</v>
      </c>
      <c r="N64" s="14">
        <f t="shared" si="18"/>
        <v>8.3649606819840017</v>
      </c>
      <c r="O64" s="13">
        <f t="shared" si="31"/>
        <v>58.873024390625005</v>
      </c>
      <c r="P64" s="14">
        <f t="shared" si="19"/>
        <v>9.1269756093749947</v>
      </c>
      <c r="Q64" s="13">
        <f t="shared" si="32"/>
        <v>58.113854785855999</v>
      </c>
      <c r="R64" s="14">
        <f t="shared" si="20"/>
        <v>9.8861452141440012</v>
      </c>
      <c r="S64" s="13">
        <f t="shared" si="33"/>
        <v>58.619430989823996</v>
      </c>
      <c r="T64" s="14">
        <f t="shared" si="21"/>
        <v>9.3805690101760035</v>
      </c>
      <c r="U64" s="13">
        <f t="shared" si="34"/>
        <v>59.126931290944</v>
      </c>
      <c r="V64" s="14">
        <f t="shared" si="22"/>
        <v>8.8730687090559996</v>
      </c>
      <c r="W64" s="13">
        <f t="shared" si="35"/>
        <v>59.380989150120996</v>
      </c>
      <c r="X64" s="14">
        <f t="shared" si="23"/>
        <v>8.6190108498790039</v>
      </c>
    </row>
    <row r="65" spans="1:24" x14ac:dyDescent="0.25">
      <c r="A65" s="13">
        <f t="shared" si="24"/>
        <v>54.51898880000001</v>
      </c>
      <c r="B65" s="14">
        <f t="shared" si="12"/>
        <v>2.5189888000000096</v>
      </c>
      <c r="C65" s="13">
        <f t="shared" si="25"/>
        <v>61.6015625</v>
      </c>
      <c r="D65" s="14">
        <f t="shared" si="13"/>
        <v>9.6015625</v>
      </c>
      <c r="E65" s="13">
        <f t="shared" si="26"/>
        <v>66.926067200000006</v>
      </c>
      <c r="F65" s="14">
        <f t="shared" si="14"/>
        <v>14.926067200000006</v>
      </c>
      <c r="G65" s="13">
        <f t="shared" si="27"/>
        <v>65.642750299999989</v>
      </c>
      <c r="H65" s="14">
        <f t="shared" si="15"/>
        <v>13.642750299999989</v>
      </c>
      <c r="I65" s="13">
        <f t="shared" si="28"/>
        <v>66.35015869140625</v>
      </c>
      <c r="J65" s="14">
        <f t="shared" si="16"/>
        <v>14.35015869140625</v>
      </c>
      <c r="K65" s="13">
        <f t="shared" si="29"/>
        <v>65.485567358197983</v>
      </c>
      <c r="L65" s="14">
        <f t="shared" si="17"/>
        <v>13.485567358197983</v>
      </c>
      <c r="M65" s="13">
        <f t="shared" si="30"/>
        <v>65.323212581765119</v>
      </c>
      <c r="N65" s="14">
        <f t="shared" si="18"/>
        <v>13.323212581765119</v>
      </c>
      <c r="O65" s="13">
        <f t="shared" si="31"/>
        <v>64.805558536718749</v>
      </c>
      <c r="P65" s="14">
        <f t="shared" si="19"/>
        <v>12.805558536718749</v>
      </c>
      <c r="Q65" s="13">
        <f t="shared" si="32"/>
        <v>64.243264818625278</v>
      </c>
      <c r="R65" s="14">
        <f t="shared" si="20"/>
        <v>12.243264818625278</v>
      </c>
      <c r="S65" s="13">
        <f t="shared" si="33"/>
        <v>64.622995156336643</v>
      </c>
      <c r="T65" s="14">
        <f t="shared" si="21"/>
        <v>12.622995156336643</v>
      </c>
      <c r="U65" s="13">
        <f t="shared" si="34"/>
        <v>64.98315663892096</v>
      </c>
      <c r="V65" s="14">
        <f t="shared" si="22"/>
        <v>12.98315663892096</v>
      </c>
      <c r="W65" s="13">
        <f t="shared" si="35"/>
        <v>65.155726419539931</v>
      </c>
      <c r="X65" s="14">
        <f t="shared" si="23"/>
        <v>13.155726419539931</v>
      </c>
    </row>
    <row r="66" spans="1:24" x14ac:dyDescent="0.25">
      <c r="A66" s="13">
        <f t="shared" si="24"/>
        <v>54.015191040000012</v>
      </c>
      <c r="B66" s="14">
        <f t="shared" si="12"/>
        <v>12.015191040000012</v>
      </c>
      <c r="C66" s="13">
        <f t="shared" si="25"/>
        <v>56.80078125</v>
      </c>
      <c r="D66" s="14">
        <f t="shared" si="13"/>
        <v>14.80078125</v>
      </c>
      <c r="E66" s="13">
        <f t="shared" si="26"/>
        <v>54.985213439999995</v>
      </c>
      <c r="F66" s="14">
        <f t="shared" si="14"/>
        <v>12.985213439999995</v>
      </c>
      <c r="G66" s="13">
        <f t="shared" si="27"/>
        <v>56.092825089999998</v>
      </c>
      <c r="H66" s="14">
        <f t="shared" si="15"/>
        <v>14.092825089999998</v>
      </c>
      <c r="I66" s="13">
        <f t="shared" si="28"/>
        <v>55.587539672851563</v>
      </c>
      <c r="J66" s="14">
        <f t="shared" si="16"/>
        <v>13.587539672851563</v>
      </c>
      <c r="K66" s="13">
        <f t="shared" si="29"/>
        <v>56.180525881041376</v>
      </c>
      <c r="L66" s="14">
        <f t="shared" si="17"/>
        <v>14.180525881041376</v>
      </c>
      <c r="M66" s="13">
        <f t="shared" si="30"/>
        <v>56.263428026164831</v>
      </c>
      <c r="N66" s="14">
        <f t="shared" si="18"/>
        <v>14.263428026164831</v>
      </c>
      <c r="O66" s="13">
        <f t="shared" si="31"/>
        <v>56.481945487851561</v>
      </c>
      <c r="P66" s="14">
        <f t="shared" si="19"/>
        <v>14.481945487851561</v>
      </c>
      <c r="Q66" s="13">
        <f t="shared" si="32"/>
        <v>56.65244063107761</v>
      </c>
      <c r="R66" s="14">
        <f t="shared" si="20"/>
        <v>14.65244063107761</v>
      </c>
      <c r="S66" s="13">
        <f t="shared" si="33"/>
        <v>56.544278256281189</v>
      </c>
      <c r="T66" s="14">
        <f t="shared" si="21"/>
        <v>14.544278256281189</v>
      </c>
      <c r="U66" s="13">
        <f t="shared" si="34"/>
        <v>56.41427325723312</v>
      </c>
      <c r="V66" s="14">
        <f t="shared" si="22"/>
        <v>14.41427325723312</v>
      </c>
      <c r="W66" s="13">
        <f t="shared" si="35"/>
        <v>56.341389718448177</v>
      </c>
      <c r="X66" s="14">
        <f t="shared" si="23"/>
        <v>14.341389718448177</v>
      </c>
    </row>
    <row r="67" spans="1:24" x14ac:dyDescent="0.25">
      <c r="A67" s="13">
        <f>A$56*$B38+(1-A56)*A66</f>
        <v>52.212152832000015</v>
      </c>
      <c r="B67" s="14">
        <f t="shared" si="12"/>
        <v>20.212152832000015</v>
      </c>
      <c r="C67" s="13">
        <f>C$56*$B38+(1-C56)*C66</f>
        <v>50.900390625</v>
      </c>
      <c r="D67" s="14">
        <f t="shared" si="13"/>
        <v>18.900390625</v>
      </c>
      <c r="E67" s="13">
        <f>E$56*$B38+(1-E56)*E66</f>
        <v>46.997042687999993</v>
      </c>
      <c r="F67" s="14">
        <f t="shared" si="14"/>
        <v>14.997042687999993</v>
      </c>
      <c r="G67" s="13">
        <f>G$56*$B38+(1-G56)*G66</f>
        <v>48.327847527000003</v>
      </c>
      <c r="H67" s="14">
        <f t="shared" si="15"/>
        <v>16.327847527000003</v>
      </c>
      <c r="I67" s="13">
        <f>I$56*$B38+(1-I56)*I66</f>
        <v>47.646884918212891</v>
      </c>
      <c r="J67" s="14">
        <f t="shared" si="16"/>
        <v>15.646884918212891</v>
      </c>
      <c r="K67" s="13">
        <f>K$56*$B38+(1-K56)*K66</f>
        <v>48.465963023122825</v>
      </c>
      <c r="L67" s="14">
        <f t="shared" si="17"/>
        <v>16.465963023122825</v>
      </c>
      <c r="M67" s="13">
        <f>M$56*$B38+(1-M56)*M66</f>
        <v>48.604296968372743</v>
      </c>
      <c r="N67" s="14">
        <f t="shared" ref="N67:N76" si="36">ABS($B34-M67)</f>
        <v>16.604296968372743</v>
      </c>
      <c r="O67" s="13">
        <f>O$56*$B38+(1-O56)*O66</f>
        <v>49.018680920748047</v>
      </c>
      <c r="P67" s="14">
        <f t="shared" ref="P67:P76" si="37">ABS($B34-O67)</f>
        <v>17.018680920748047</v>
      </c>
      <c r="Q67" s="13">
        <f>Q$56*$B38+(1-Q56)*Q66</f>
        <v>49.427927439809494</v>
      </c>
      <c r="R67" s="14">
        <f t="shared" ref="R67:R76" si="38">ABS($B34-Q67)</f>
        <v>17.427927439809494</v>
      </c>
      <c r="S67" s="13">
        <f>S$56*$B38+(1-S56)*S66</f>
        <v>49.155940172261225</v>
      </c>
      <c r="T67" s="14">
        <f t="shared" ref="T67:T76" si="39">ABS($B34-S67)</f>
        <v>17.155940172261225</v>
      </c>
      <c r="U67" s="13">
        <f>U$56*$B38+(1-U56)*U66</f>
        <v>48.880852907459257</v>
      </c>
      <c r="V67" s="14">
        <f t="shared" ref="V67:V76" si="40">ABS($B34-U67)</f>
        <v>16.880852907459257</v>
      </c>
      <c r="W67" s="13">
        <f>W$56*$B38+(1-W56)*W66</f>
        <v>48.742658607087897</v>
      </c>
      <c r="X67" s="8" t="s">
        <v>34</v>
      </c>
    </row>
    <row r="68" spans="1:24" x14ac:dyDescent="0.25">
      <c r="A68" s="13">
        <f>A56*$B40+(1-A56)*A67</f>
        <v>52.369722265600018</v>
      </c>
      <c r="B68" s="14">
        <f t="shared" si="12"/>
        <v>9.3697222656000179</v>
      </c>
      <c r="C68" s="13">
        <f>C56*$B40+(1-C56)*C67</f>
        <v>51.9501953125</v>
      </c>
      <c r="D68" s="14">
        <f t="shared" si="13"/>
        <v>8.9501953125</v>
      </c>
      <c r="E68" s="13">
        <f>E56*$B40+(1-E56)*E67</f>
        <v>51.799408537600002</v>
      </c>
      <c r="F68" s="14">
        <f t="shared" si="14"/>
        <v>8.7994085376000015</v>
      </c>
      <c r="G68" s="13">
        <f>G56*$B40+(1-G56)*G67</f>
        <v>51.598354258099995</v>
      </c>
      <c r="H68" s="14">
        <f t="shared" si="15"/>
        <v>8.5983542580999952</v>
      </c>
      <c r="I68" s="13">
        <f>I56*$B40+(1-I56)*I67</f>
        <v>51.661721229553223</v>
      </c>
      <c r="J68" s="14">
        <f t="shared" si="16"/>
        <v>8.6617212295532227</v>
      </c>
      <c r="K68" s="13">
        <f>K56*$B40+(1-K56)*K67</f>
        <v>51.594448537168077</v>
      </c>
      <c r="L68" s="14">
        <f t="shared" si="17"/>
        <v>8.594448537168077</v>
      </c>
      <c r="M68" s="13">
        <f>M56*$B40+(1-M56)*M67</f>
        <v>51.593375029879276</v>
      </c>
      <c r="N68" s="14">
        <f t="shared" si="36"/>
        <v>8.5933750298792759</v>
      </c>
      <c r="O68" s="13">
        <f>O56*$B40+(1-O56)*O67</f>
        <v>51.606538322261819</v>
      </c>
      <c r="P68" s="14">
        <f t="shared" si="37"/>
        <v>8.6065383222618195</v>
      </c>
      <c r="Q68" s="13">
        <f>Q56*$B40+(1-Q56)*Q67</f>
        <v>51.642612427127602</v>
      </c>
      <c r="R68" s="14">
        <f t="shared" si="38"/>
        <v>8.6426124271276024</v>
      </c>
      <c r="S68" s="13">
        <f>S56*$B40+(1-S56)*S67</f>
        <v>51.616138462014042</v>
      </c>
      <c r="T68" s="14">
        <f t="shared" si="39"/>
        <v>8.6161384620140424</v>
      </c>
      <c r="U68" s="13">
        <f>U56*$B40+(1-U56)*U67</f>
        <v>51.599489988536149</v>
      </c>
      <c r="V68" s="14">
        <f t="shared" si="40"/>
        <v>8.5994899885361491</v>
      </c>
      <c r="W68" s="13">
        <f>W56*$B40+(1-W56)*W67</f>
        <v>51.59507734033901</v>
      </c>
      <c r="X68" s="14">
        <f t="shared" ref="X68:X76" si="41">ABS($B35-W68)</f>
        <v>8.5950773403390102</v>
      </c>
    </row>
    <row r="69" spans="1:24" x14ac:dyDescent="0.25">
      <c r="A69" s="13">
        <f t="shared" ref="A69:A76" si="42">A$56*$B35+(1-A$56)*A68</f>
        <v>50.495777812480021</v>
      </c>
      <c r="B69" s="14">
        <f t="shared" si="12"/>
        <v>13.495777812480021</v>
      </c>
      <c r="C69" s="13">
        <f t="shared" ref="C69:C76" si="43">C$56*$B35+(1-C$56)*C68</f>
        <v>47.47509765625</v>
      </c>
      <c r="D69" s="14">
        <f t="shared" si="13"/>
        <v>10.47509765625</v>
      </c>
      <c r="E69" s="13">
        <f t="shared" ref="E69:E76" si="44">E$56*$B35+(1-E$56)*E68</f>
        <v>44.759881707519995</v>
      </c>
      <c r="F69" s="14">
        <f t="shared" si="14"/>
        <v>7.7598817075199946</v>
      </c>
      <c r="G69" s="13">
        <f t="shared" ref="G69:G76" si="45">G$56*$B35+(1-G$56)*G68</f>
        <v>45.579506277429999</v>
      </c>
      <c r="H69" s="14">
        <f t="shared" si="15"/>
        <v>8.5795062774299993</v>
      </c>
      <c r="I69" s="13">
        <f t="shared" ref="I69:I76" si="46">I$56*$B35+(1-I$56)*I68</f>
        <v>45.165430307388306</v>
      </c>
      <c r="J69" s="14">
        <f t="shared" si="16"/>
        <v>8.1654303073883057</v>
      </c>
      <c r="K69" s="13">
        <f t="shared" ref="K69:K76" si="47">K$56*$B35+(1-K$56)*K68</f>
        <v>45.664279046522104</v>
      </c>
      <c r="L69" s="14">
        <f t="shared" si="17"/>
        <v>8.664279046522104</v>
      </c>
      <c r="M69" s="13">
        <f t="shared" ref="M69:M76" si="48">M$56*$B35+(1-M$56)*M68</f>
        <v>45.749880009561366</v>
      </c>
      <c r="N69" s="14">
        <f t="shared" si="36"/>
        <v>8.749880009561366</v>
      </c>
      <c r="O69" s="13">
        <f t="shared" ref="O69:O76" si="49">O$56*$B35+(1-O$56)*O68</f>
        <v>46.012288412791634</v>
      </c>
      <c r="P69" s="14">
        <f t="shared" si="37"/>
        <v>9.0122884127916336</v>
      </c>
      <c r="Q69" s="13">
        <f t="shared" ref="Q69:Q76" si="50">Q$56*$B35+(1-Q$56)*Q68</f>
        <v>46.284192722308489</v>
      </c>
      <c r="R69" s="14">
        <f t="shared" si="38"/>
        <v>9.2841927223084895</v>
      </c>
      <c r="S69" s="13">
        <f t="shared" ref="S69:S76" si="51">S$56*$B35+(1-S$56)*S68</f>
        <v>46.101809846325054</v>
      </c>
      <c r="T69" s="14">
        <f t="shared" si="39"/>
        <v>9.1018098463250539</v>
      </c>
      <c r="U69" s="13">
        <f t="shared" ref="U69:U76" si="52">U$56*$B35+(1-U$56)*U68</f>
        <v>45.923826596102288</v>
      </c>
      <c r="V69" s="14">
        <f t="shared" si="40"/>
        <v>8.9238265961022876</v>
      </c>
      <c r="W69" s="13">
        <f t="shared" ref="W69:W76" si="53">W$56*$B35+(1-W$56)*W68</f>
        <v>45.836375522311869</v>
      </c>
      <c r="X69" s="14">
        <f t="shared" si="41"/>
        <v>8.8363755223118687</v>
      </c>
    </row>
    <row r="70" spans="1:24" x14ac:dyDescent="0.25">
      <c r="A70" s="13">
        <f t="shared" si="42"/>
        <v>47.796622249984019</v>
      </c>
      <c r="B70" s="14">
        <f t="shared" si="12"/>
        <v>13.203377750015981</v>
      </c>
      <c r="C70" s="13">
        <f t="shared" si="43"/>
        <v>42.237548828125</v>
      </c>
      <c r="D70" s="14">
        <f t="shared" si="13"/>
        <v>18.762451171875</v>
      </c>
      <c r="E70" s="13">
        <f t="shared" si="44"/>
        <v>38.551976341504002</v>
      </c>
      <c r="F70" s="14">
        <f t="shared" si="14"/>
        <v>22.448023658495998</v>
      </c>
      <c r="G70" s="13">
        <f t="shared" si="45"/>
        <v>39.573851883228997</v>
      </c>
      <c r="H70" s="14">
        <f t="shared" si="15"/>
        <v>21.426148116771003</v>
      </c>
      <c r="I70" s="13">
        <f t="shared" si="46"/>
        <v>39.041357576847076</v>
      </c>
      <c r="J70" s="14">
        <f t="shared" si="16"/>
        <v>21.958642423152924</v>
      </c>
      <c r="K70" s="13">
        <f t="shared" si="47"/>
        <v>39.68592650442185</v>
      </c>
      <c r="L70" s="14">
        <f t="shared" si="17"/>
        <v>21.31407349557815</v>
      </c>
      <c r="M70" s="13">
        <f t="shared" si="48"/>
        <v>39.799961603059636</v>
      </c>
      <c r="N70" s="14">
        <f t="shared" si="36"/>
        <v>21.200038396940364</v>
      </c>
      <c r="O70" s="13">
        <f t="shared" si="49"/>
        <v>40.154300944477072</v>
      </c>
      <c r="P70" s="14">
        <f t="shared" si="37"/>
        <v>20.845699055522928</v>
      </c>
      <c r="Q70" s="13">
        <f t="shared" si="50"/>
        <v>40.527993234477229</v>
      </c>
      <c r="R70" s="14">
        <f t="shared" si="38"/>
        <v>20.472006765522771</v>
      </c>
      <c r="S70" s="13">
        <f t="shared" si="51"/>
        <v>40.276651544677023</v>
      </c>
      <c r="T70" s="14">
        <f t="shared" si="39"/>
        <v>20.723348455322977</v>
      </c>
      <c r="U70" s="13">
        <f t="shared" si="52"/>
        <v>40.034101042674777</v>
      </c>
      <c r="V70" s="14">
        <f t="shared" si="40"/>
        <v>20.965898957325223</v>
      </c>
      <c r="W70" s="13">
        <f t="shared" si="53"/>
        <v>39.916003922362918</v>
      </c>
      <c r="X70" s="14">
        <f t="shared" si="41"/>
        <v>21.083996077637082</v>
      </c>
    </row>
    <row r="71" spans="1:24" x14ac:dyDescent="0.25">
      <c r="A71" s="13">
        <f t="shared" si="42"/>
        <v>50.437297799987221</v>
      </c>
      <c r="B71" s="14">
        <f t="shared" si="12"/>
        <v>5.4372977999872205</v>
      </c>
      <c r="C71" s="13">
        <f t="shared" si="43"/>
        <v>51.6187744140625</v>
      </c>
      <c r="D71" s="14">
        <f t="shared" si="13"/>
        <v>6.6187744140625</v>
      </c>
      <c r="E71" s="13">
        <f t="shared" si="44"/>
        <v>56.510395268300805</v>
      </c>
      <c r="F71" s="14">
        <f t="shared" si="14"/>
        <v>11.510395268300805</v>
      </c>
      <c r="G71" s="13">
        <f t="shared" si="45"/>
        <v>54.572155564968696</v>
      </c>
      <c r="H71" s="14">
        <f t="shared" si="15"/>
        <v>9.5721555649686962</v>
      </c>
      <c r="I71" s="13">
        <f t="shared" si="46"/>
        <v>55.510339394211769</v>
      </c>
      <c r="J71" s="14">
        <f t="shared" si="16"/>
        <v>10.510339394211769</v>
      </c>
      <c r="K71" s="13">
        <f t="shared" si="47"/>
        <v>54.392637216370773</v>
      </c>
      <c r="L71" s="14">
        <f t="shared" si="17"/>
        <v>9.3926372163707725</v>
      </c>
      <c r="M71" s="13">
        <f t="shared" si="48"/>
        <v>54.215987712979086</v>
      </c>
      <c r="N71" s="14">
        <f t="shared" si="36"/>
        <v>9.2159877129790857</v>
      </c>
      <c r="O71" s="13">
        <f t="shared" si="49"/>
        <v>53.704005330566972</v>
      </c>
      <c r="P71" s="14">
        <f t="shared" si="37"/>
        <v>8.7040053305669716</v>
      </c>
      <c r="Q71" s="13">
        <f t="shared" si="50"/>
        <v>53.220637429101345</v>
      </c>
      <c r="R71" s="14">
        <f t="shared" si="38"/>
        <v>8.2206374291013447</v>
      </c>
      <c r="S71" s="13">
        <f t="shared" si="51"/>
        <v>53.539594556083728</v>
      </c>
      <c r="T71" s="14">
        <f t="shared" si="39"/>
        <v>8.5395945560837276</v>
      </c>
      <c r="U71" s="13">
        <f t="shared" si="52"/>
        <v>53.871594354509426</v>
      </c>
      <c r="V71" s="14">
        <f t="shared" si="40"/>
        <v>8.8715943545094262</v>
      </c>
      <c r="W71" s="13">
        <f t="shared" si="53"/>
        <v>54.042281294379762</v>
      </c>
      <c r="X71" s="14">
        <f t="shared" si="41"/>
        <v>9.0422812943797624</v>
      </c>
    </row>
    <row r="72" spans="1:24" x14ac:dyDescent="0.25">
      <c r="A72" s="13">
        <f t="shared" si="42"/>
        <v>49.349838239989779</v>
      </c>
      <c r="B72" s="14">
        <f t="shared" si="12"/>
        <v>1.3498382399897793</v>
      </c>
      <c r="C72" s="13">
        <f t="shared" si="43"/>
        <v>48.30938720703125</v>
      </c>
      <c r="D72" s="14">
        <f t="shared" si="13"/>
        <v>0.30938720703125</v>
      </c>
      <c r="E72" s="13">
        <f t="shared" si="44"/>
        <v>47.302079053660158</v>
      </c>
      <c r="F72" s="14">
        <f t="shared" si="14"/>
        <v>0.69792094633984192</v>
      </c>
      <c r="G72" s="13">
        <f t="shared" si="45"/>
        <v>47.871646669490609</v>
      </c>
      <c r="H72" s="14">
        <f t="shared" si="15"/>
        <v>0.12835333050939113</v>
      </c>
      <c r="I72" s="13">
        <f t="shared" si="46"/>
        <v>47.627584848552942</v>
      </c>
      <c r="J72" s="14">
        <f t="shared" si="16"/>
        <v>0.37241515144705772</v>
      </c>
      <c r="K72" s="13">
        <f t="shared" si="47"/>
        <v>47.911717537074935</v>
      </c>
      <c r="L72" s="14">
        <f t="shared" si="17"/>
        <v>8.828246292506492E-2</v>
      </c>
      <c r="M72" s="13">
        <f t="shared" si="48"/>
        <v>47.949116068153302</v>
      </c>
      <c r="N72" s="14">
        <f t="shared" si="36"/>
        <v>5.088393184669826E-2</v>
      </c>
      <c r="O72" s="13">
        <f t="shared" si="49"/>
        <v>48.046401865698442</v>
      </c>
      <c r="P72" s="14">
        <f t="shared" si="37"/>
        <v>4.640186569844218E-2</v>
      </c>
      <c r="Q72" s="13">
        <f t="shared" si="50"/>
        <v>48.12384222305851</v>
      </c>
      <c r="R72" s="14">
        <f t="shared" si="38"/>
        <v>0.12384222305851011</v>
      </c>
      <c r="S72" s="13">
        <f t="shared" si="51"/>
        <v>48.074254040190141</v>
      </c>
      <c r="T72" s="14">
        <f t="shared" si="39"/>
        <v>7.4254040190140813E-2</v>
      </c>
      <c r="U72" s="13">
        <f t="shared" si="52"/>
        <v>48.016342080533207</v>
      </c>
      <c r="V72" s="14">
        <f t="shared" si="40"/>
        <v>1.6342080533206627E-2</v>
      </c>
      <c r="W72" s="13">
        <f t="shared" si="53"/>
        <v>47.983952827145323</v>
      </c>
      <c r="X72" s="14">
        <f t="shared" si="41"/>
        <v>1.6047172854676717E-2</v>
      </c>
    </row>
    <row r="73" spans="1:24" x14ac:dyDescent="0.25">
      <c r="A73" s="13">
        <f t="shared" si="42"/>
        <v>49.079870591991828</v>
      </c>
      <c r="B73" s="14">
        <f t="shared" si="12"/>
        <v>3.9201294080081723</v>
      </c>
      <c r="C73" s="13">
        <f t="shared" si="43"/>
        <v>48.154693603515625</v>
      </c>
      <c r="D73" s="14">
        <f t="shared" si="13"/>
        <v>4.845306396484375</v>
      </c>
      <c r="E73" s="13">
        <f t="shared" si="44"/>
        <v>47.860415810732036</v>
      </c>
      <c r="F73" s="14">
        <f t="shared" si="14"/>
        <v>5.1395841892679641</v>
      </c>
      <c r="G73" s="13">
        <f t="shared" si="45"/>
        <v>47.961494000847182</v>
      </c>
      <c r="H73" s="14">
        <f t="shared" si="15"/>
        <v>5.038505999152818</v>
      </c>
      <c r="I73" s="13">
        <f t="shared" si="46"/>
        <v>47.906896212138236</v>
      </c>
      <c r="J73" s="14">
        <f t="shared" si="16"/>
        <v>5.0931037878617644</v>
      </c>
      <c r="K73" s="13">
        <f t="shared" si="47"/>
        <v>47.972632436493228</v>
      </c>
      <c r="L73" s="14">
        <f t="shared" si="17"/>
        <v>5.0273675635067718</v>
      </c>
      <c r="M73" s="13">
        <f t="shared" si="48"/>
        <v>47.983717141809052</v>
      </c>
      <c r="N73" s="14">
        <f t="shared" si="36"/>
        <v>5.016282858190948</v>
      </c>
      <c r="O73" s="13">
        <f t="shared" si="49"/>
        <v>48.016240652994455</v>
      </c>
      <c r="P73" s="14">
        <f t="shared" si="37"/>
        <v>4.9837593470055452</v>
      </c>
      <c r="Q73" s="13">
        <f t="shared" si="50"/>
        <v>48.047060044762233</v>
      </c>
      <c r="R73" s="14">
        <f t="shared" si="38"/>
        <v>4.9529399552377669</v>
      </c>
      <c r="S73" s="13">
        <f t="shared" si="51"/>
        <v>48.026731454468447</v>
      </c>
      <c r="T73" s="14">
        <f t="shared" si="39"/>
        <v>4.9732685455315533</v>
      </c>
      <c r="U73" s="13">
        <f t="shared" si="52"/>
        <v>48.005556307381283</v>
      </c>
      <c r="V73" s="14">
        <f t="shared" si="40"/>
        <v>4.9944436926187166</v>
      </c>
      <c r="W73" s="13">
        <f t="shared" si="53"/>
        <v>47.99470443295796</v>
      </c>
      <c r="X73" s="14">
        <f t="shared" si="41"/>
        <v>5.0052955670420403</v>
      </c>
    </row>
    <row r="74" spans="1:24" x14ac:dyDescent="0.25">
      <c r="A74" s="13">
        <f t="shared" si="42"/>
        <v>49.863896473593464</v>
      </c>
      <c r="B74" s="14">
        <f t="shared" si="12"/>
        <v>11.863896473593464</v>
      </c>
      <c r="C74" s="13">
        <f t="shared" si="43"/>
        <v>50.577346801757813</v>
      </c>
      <c r="D74" s="14">
        <f t="shared" si="13"/>
        <v>12.577346801757813</v>
      </c>
      <c r="E74" s="13">
        <f t="shared" si="44"/>
        <v>51.972083162146411</v>
      </c>
      <c r="F74" s="14">
        <f t="shared" si="14"/>
        <v>13.972083162146411</v>
      </c>
      <c r="G74" s="13">
        <f t="shared" si="45"/>
        <v>51.488448200254155</v>
      </c>
      <c r="H74" s="14">
        <f t="shared" si="15"/>
        <v>13.488448200254155</v>
      </c>
      <c r="I74" s="13">
        <f t="shared" si="46"/>
        <v>51.726724053034559</v>
      </c>
      <c r="J74" s="14">
        <f t="shared" si="16"/>
        <v>13.726724053034559</v>
      </c>
      <c r="K74" s="13">
        <f t="shared" si="47"/>
        <v>51.441516055312903</v>
      </c>
      <c r="L74" s="14">
        <f t="shared" si="17"/>
        <v>13.441516055312903</v>
      </c>
      <c r="M74" s="13">
        <f t="shared" si="48"/>
        <v>51.394789485378894</v>
      </c>
      <c r="N74" s="14">
        <f t="shared" si="36"/>
        <v>13.394789485378894</v>
      </c>
      <c r="O74" s="13">
        <f t="shared" si="49"/>
        <v>51.255684228548063</v>
      </c>
      <c r="P74" s="14">
        <f t="shared" si="37"/>
        <v>13.255684228548063</v>
      </c>
      <c r="Q74" s="13">
        <f t="shared" si="50"/>
        <v>51.117882817009644</v>
      </c>
      <c r="R74" s="14">
        <f t="shared" si="38"/>
        <v>13.117882817009644</v>
      </c>
      <c r="S74" s="13">
        <f t="shared" si="51"/>
        <v>51.209623323608639</v>
      </c>
      <c r="T74" s="14">
        <f t="shared" si="39"/>
        <v>13.209623323608639</v>
      </c>
      <c r="U74" s="13">
        <f t="shared" si="52"/>
        <v>51.301889144509637</v>
      </c>
      <c r="V74" s="14">
        <f t="shared" si="40"/>
        <v>13.301889144509637</v>
      </c>
      <c r="W74" s="13">
        <f t="shared" si="53"/>
        <v>51.348252462876133</v>
      </c>
      <c r="X74" s="14">
        <f t="shared" si="41"/>
        <v>13.348252462876133</v>
      </c>
    </row>
    <row r="75" spans="1:24" x14ac:dyDescent="0.25">
      <c r="A75" s="13">
        <f t="shared" si="42"/>
        <v>47.491117178874774</v>
      </c>
      <c r="B75" s="14">
        <f t="shared" si="12"/>
        <v>9.5088828211252263</v>
      </c>
      <c r="C75" s="13">
        <f t="shared" si="43"/>
        <v>44.288673400878906</v>
      </c>
      <c r="D75" s="14">
        <f t="shared" si="13"/>
        <v>12.711326599121094</v>
      </c>
      <c r="E75" s="13">
        <f t="shared" si="44"/>
        <v>40.794416632429282</v>
      </c>
      <c r="F75" s="14">
        <f t="shared" si="14"/>
        <v>16.205583367570718</v>
      </c>
      <c r="G75" s="13">
        <f t="shared" si="45"/>
        <v>42.046534460076245</v>
      </c>
      <c r="H75" s="14">
        <f t="shared" si="15"/>
        <v>14.953465539923755</v>
      </c>
      <c r="I75" s="13">
        <f t="shared" si="46"/>
        <v>41.43168101325864</v>
      </c>
      <c r="J75" s="14">
        <f t="shared" si="16"/>
        <v>15.56831898674136</v>
      </c>
      <c r="K75" s="13">
        <f t="shared" si="47"/>
        <v>42.166869977147002</v>
      </c>
      <c r="L75" s="14">
        <f t="shared" si="17"/>
        <v>14.833130022852998</v>
      </c>
      <c r="M75" s="13">
        <f t="shared" si="48"/>
        <v>42.286332635321244</v>
      </c>
      <c r="N75" s="14">
        <f t="shared" si="36"/>
        <v>14.713667364678756</v>
      </c>
      <c r="O75" s="13">
        <f t="shared" si="49"/>
        <v>42.639489479991823</v>
      </c>
      <c r="P75" s="14">
        <f t="shared" si="37"/>
        <v>14.360510520008177</v>
      </c>
      <c r="Q75" s="13">
        <f t="shared" si="50"/>
        <v>42.984795470463666</v>
      </c>
      <c r="R75" s="14">
        <f t="shared" si="38"/>
        <v>14.015204529536334</v>
      </c>
      <c r="S75" s="13">
        <f t="shared" si="51"/>
        <v>42.755464396499107</v>
      </c>
      <c r="T75" s="14">
        <f t="shared" si="39"/>
        <v>14.244535603500893</v>
      </c>
      <c r="U75" s="13">
        <f t="shared" si="52"/>
        <v>42.522642309133275</v>
      </c>
      <c r="V75" s="14">
        <f t="shared" si="40"/>
        <v>14.477357690866725</v>
      </c>
      <c r="W75" s="13">
        <f t="shared" si="53"/>
        <v>42.404923312749119</v>
      </c>
      <c r="X75" s="14">
        <f t="shared" si="41"/>
        <v>14.595076687250881</v>
      </c>
    </row>
    <row r="76" spans="1:24" ht="15.75" thickBot="1" x14ac:dyDescent="0.3">
      <c r="A76" s="13">
        <f t="shared" si="42"/>
        <v>49.392893743099819</v>
      </c>
      <c r="B76" s="14">
        <f t="shared" si="12"/>
        <v>9.3928937430998189</v>
      </c>
      <c r="C76" s="13">
        <f t="shared" si="43"/>
        <v>50.644336700439453</v>
      </c>
      <c r="D76" s="14">
        <f t="shared" si="13"/>
        <v>10.644336700439453</v>
      </c>
      <c r="E76" s="13">
        <f t="shared" si="44"/>
        <v>53.758883326485858</v>
      </c>
      <c r="F76" s="14">
        <f t="shared" si="14"/>
        <v>13.758883326485858</v>
      </c>
      <c r="G76" s="13">
        <f t="shared" si="45"/>
        <v>52.513960338022876</v>
      </c>
      <c r="H76" s="14">
        <f t="shared" si="15"/>
        <v>12.513960338022876</v>
      </c>
      <c r="I76" s="13">
        <f t="shared" si="46"/>
        <v>53.10792025331466</v>
      </c>
      <c r="J76" s="14">
        <f t="shared" si="16"/>
        <v>13.10792025331466</v>
      </c>
      <c r="K76" s="13">
        <f t="shared" si="47"/>
        <v>52.401729692915573</v>
      </c>
      <c r="L76" s="14">
        <f t="shared" si="17"/>
        <v>12.401729692915573</v>
      </c>
      <c r="M76" s="13">
        <f t="shared" si="48"/>
        <v>52.291626443302803</v>
      </c>
      <c r="N76" s="14">
        <f t="shared" si="36"/>
        <v>12.291626443302803</v>
      </c>
      <c r="O76" s="13">
        <f t="shared" si="49"/>
        <v>51.973821317997142</v>
      </c>
      <c r="P76" s="14">
        <f t="shared" si="37"/>
        <v>11.973821317997142</v>
      </c>
      <c r="Q76" s="13">
        <f t="shared" si="50"/>
        <v>51.674222278776185</v>
      </c>
      <c r="R76" s="14">
        <f t="shared" si="38"/>
        <v>11.674222278776185</v>
      </c>
      <c r="S76" s="13">
        <f t="shared" si="51"/>
        <v>51.871967182739681</v>
      </c>
      <c r="T76" s="14">
        <f t="shared" si="39"/>
        <v>11.871967182739681</v>
      </c>
      <c r="U76" s="13">
        <f t="shared" si="52"/>
        <v>52.077698385105315</v>
      </c>
      <c r="V76" s="14">
        <f t="shared" si="40"/>
        <v>12.077698385105315</v>
      </c>
      <c r="W76" s="13">
        <f t="shared" si="53"/>
        <v>52.183624693207214</v>
      </c>
      <c r="X76" s="14">
        <f t="shared" si="41"/>
        <v>12.183624693207214</v>
      </c>
    </row>
    <row r="77" spans="1:24" ht="15.75" thickBot="1" x14ac:dyDescent="0.3">
      <c r="A77" s="310">
        <f>AVERAGE(B58:B66)</f>
        <v>11.32279153777778</v>
      </c>
      <c r="B77" s="311"/>
      <c r="C77" s="304">
        <f>AVERAGE(D58:D66)</f>
        <v>13.039496527777779</v>
      </c>
      <c r="D77" s="305"/>
      <c r="E77" s="304">
        <f>AVERAGE(F58:F66)</f>
        <v>12.924762737777778</v>
      </c>
      <c r="F77" s="305"/>
      <c r="G77" s="304">
        <f>AVERAGE(H58:H66)</f>
        <v>13.142833821111108</v>
      </c>
      <c r="H77" s="305"/>
      <c r="I77" s="304">
        <f>AVERAGE(J58:J66)</f>
        <v>13.053054809570313</v>
      </c>
      <c r="J77" s="305"/>
      <c r="K77" s="304">
        <f>AVERAGE(L58:L66)</f>
        <v>13.155800630156707</v>
      </c>
      <c r="L77" s="305"/>
      <c r="M77" s="304">
        <f>AVERAGE(N58:N66)</f>
        <v>13.167028842345996</v>
      </c>
      <c r="N77" s="305"/>
      <c r="O77" s="304">
        <f>AVERAGE(P58:P66)</f>
        <v>13.189969855160591</v>
      </c>
      <c r="P77" s="305"/>
      <c r="Q77" s="304">
        <f>AVERAGE(R58:R66)</f>
        <v>13.196165899182988</v>
      </c>
      <c r="R77" s="305"/>
      <c r="S77" s="304">
        <f>AVERAGE(T58:T66)</f>
        <v>13.193934593821538</v>
      </c>
      <c r="T77" s="305"/>
      <c r="U77" s="304">
        <f>AVERAGE(V58:V66)</f>
        <v>13.184144089290008</v>
      </c>
      <c r="V77" s="305"/>
      <c r="W77" s="304">
        <f>AVERAGE(X58:X66)</f>
        <v>13.176486973796345</v>
      </c>
      <c r="X77" s="305"/>
    </row>
    <row r="78" spans="1:24" ht="15.75" thickBot="1" x14ac:dyDescent="0.3">
      <c r="A78" s="310">
        <f>AVERAGE(B68:B76)</f>
        <v>8.615757368211078</v>
      </c>
      <c r="B78" s="311"/>
      <c r="C78" s="304">
        <f>AVERAGE(D68:D76)</f>
        <v>9.5438024732801647</v>
      </c>
      <c r="D78" s="305"/>
      <c r="E78" s="304">
        <f>AVERAGE(F68:F76)</f>
        <v>11.143529351525286</v>
      </c>
      <c r="F78" s="305"/>
      <c r="G78" s="304">
        <f>AVERAGE(H68:H76)</f>
        <v>10.47765529168141</v>
      </c>
      <c r="H78" s="305"/>
      <c r="I78" s="304">
        <f>AVERAGE(J68:J76)</f>
        <v>10.796068398522847</v>
      </c>
      <c r="J78" s="305"/>
      <c r="K78" s="304">
        <f>AVERAGE(L68:L76)</f>
        <v>10.417496010350268</v>
      </c>
      <c r="L78" s="305"/>
      <c r="M78" s="304">
        <f>AVERAGE(N68:N76)</f>
        <v>10.358503470306466</v>
      </c>
      <c r="N78" s="305"/>
      <c r="O78" s="304">
        <f>AVERAGE(P68:P76)</f>
        <v>10.1987453778223</v>
      </c>
      <c r="P78" s="305"/>
      <c r="Q78" s="304">
        <f>AVERAGE(R68:R76)</f>
        <v>10.055949016408739</v>
      </c>
      <c r="R78" s="305"/>
      <c r="S78" s="304">
        <f>AVERAGE(T68:T76)</f>
        <v>10.1505044461463</v>
      </c>
      <c r="T78" s="305"/>
      <c r="U78" s="304">
        <f>AVERAGE(V68:V76)</f>
        <v>10.247615654456297</v>
      </c>
      <c r="V78" s="305"/>
      <c r="W78" s="304">
        <f>AVERAGE(X68:X76)</f>
        <v>10.300669646433185</v>
      </c>
      <c r="X78" s="305"/>
    </row>
    <row r="79" spans="1:24" ht="15.75" thickBot="1" x14ac:dyDescent="0.3">
      <c r="A79" s="310">
        <f>AVERAGE(B57:B76)</f>
        <v>10.508373315047352</v>
      </c>
      <c r="B79" s="311"/>
      <c r="C79" s="304">
        <f>AVERAGE(D57:D76)</f>
        <v>11.692109559711657</v>
      </c>
      <c r="D79" s="305"/>
      <c r="E79" s="304">
        <f>AVERAGE(F57:F76)</f>
        <v>12.190087973248822</v>
      </c>
      <c r="F79" s="305"/>
      <c r="G79" s="304">
        <f>AVERAGE(H57:H76)</f>
        <v>12.048013133796454</v>
      </c>
      <c r="H79" s="305"/>
      <c r="I79" s="304">
        <f>AVERAGE(J57:J76)</f>
        <v>12.120473357423753</v>
      </c>
      <c r="J79" s="305"/>
      <c r="K79" s="304">
        <f>AVERAGE(L57:L76)</f>
        <v>12.032928041457136</v>
      </c>
      <c r="L79" s="305"/>
      <c r="M79" s="304">
        <f>AVERAGE(N57:N76)</f>
        <v>12.017583567486572</v>
      </c>
      <c r="N79" s="305"/>
      <c r="O79" s="304">
        <f>AVERAGE(P57:P76)</f>
        <v>11.974585158820744</v>
      </c>
      <c r="P79" s="305"/>
      <c r="Q79" s="304">
        <f>AVERAGE(R57:R76)</f>
        <v>11.93141903579658</v>
      </c>
      <c r="R79" s="305"/>
      <c r="S79" s="304">
        <f>AVERAGE(T57:T76)</f>
        <v>11.96083639641957</v>
      </c>
      <c r="T79" s="305"/>
      <c r="U79" s="304">
        <f>AVERAGE(V57:V76)</f>
        <v>11.987720557956631</v>
      </c>
      <c r="V79" s="305"/>
      <c r="W79" s="304">
        <f>AVERAGE(X57:X76)</f>
        <v>11.738578310114763</v>
      </c>
      <c r="X79" s="305"/>
    </row>
  </sheetData>
  <mergeCells count="56">
    <mergeCell ref="S78:T78"/>
    <mergeCell ref="U78:V78"/>
    <mergeCell ref="W78:X78"/>
    <mergeCell ref="G78:H78"/>
    <mergeCell ref="I78:J78"/>
    <mergeCell ref="K78:L78"/>
    <mergeCell ref="M78:N78"/>
    <mergeCell ref="O78:P78"/>
    <mergeCell ref="Q78:R78"/>
    <mergeCell ref="A78:B78"/>
    <mergeCell ref="C78:D78"/>
    <mergeCell ref="E78:F78"/>
    <mergeCell ref="G77:H77"/>
    <mergeCell ref="I77:J77"/>
    <mergeCell ref="W77:X77"/>
    <mergeCell ref="M77:N77"/>
    <mergeCell ref="O77:P77"/>
    <mergeCell ref="Q77:R77"/>
    <mergeCell ref="A45:B45"/>
    <mergeCell ref="C45:D45"/>
    <mergeCell ref="E45:F45"/>
    <mergeCell ref="G45:H45"/>
    <mergeCell ref="K77:L77"/>
    <mergeCell ref="K45:L45"/>
    <mergeCell ref="I45:J45"/>
    <mergeCell ref="A77:B77"/>
    <mergeCell ref="C77:D77"/>
    <mergeCell ref="E77:F77"/>
    <mergeCell ref="S77:T77"/>
    <mergeCell ref="U77:V77"/>
    <mergeCell ref="A22:L22"/>
    <mergeCell ref="A46:B46"/>
    <mergeCell ref="C46:D46"/>
    <mergeCell ref="E46:F46"/>
    <mergeCell ref="G46:H46"/>
    <mergeCell ref="I46:J46"/>
    <mergeCell ref="K46:L46"/>
    <mergeCell ref="A55:X55"/>
    <mergeCell ref="A44:B44"/>
    <mergeCell ref="C44:D44"/>
    <mergeCell ref="E44:F44"/>
    <mergeCell ref="G44:H44"/>
    <mergeCell ref="K44:L44"/>
    <mergeCell ref="I44:J44"/>
    <mergeCell ref="A79:B79"/>
    <mergeCell ref="C79:D79"/>
    <mergeCell ref="E79:F79"/>
    <mergeCell ref="G79:H79"/>
    <mergeCell ref="I79:J79"/>
    <mergeCell ref="U79:V79"/>
    <mergeCell ref="W79:X79"/>
    <mergeCell ref="K79:L79"/>
    <mergeCell ref="M79:N79"/>
    <mergeCell ref="O79:P79"/>
    <mergeCell ref="Q79:R79"/>
    <mergeCell ref="S79:T79"/>
  </mergeCells>
  <pageMargins left="0.7" right="0.7" top="0.75" bottom="0.75" header="0.3" footer="0.3"/>
  <pageSetup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7D591-BB52-413A-834E-75524A4AFB70}">
  <sheetPr codeName="Sheet15"/>
  <dimension ref="A1:L129"/>
  <sheetViews>
    <sheetView zoomScale="90" zoomScaleNormal="90" workbookViewId="0">
      <selection activeCell="H38" sqref="H38"/>
    </sheetView>
  </sheetViews>
  <sheetFormatPr defaultColWidth="9.140625" defaultRowHeight="15" x14ac:dyDescent="0.25"/>
  <cols>
    <col min="1" max="1" width="18" style="1" bestFit="1" customWidth="1"/>
    <col min="2" max="2" width="12.7109375" style="1" bestFit="1" customWidth="1"/>
    <col min="3" max="4" width="10.140625" style="1" customWidth="1"/>
    <col min="5" max="5" width="10.42578125" style="1" bestFit="1" customWidth="1"/>
    <col min="6" max="6" width="18.42578125" style="1" bestFit="1" customWidth="1"/>
    <col min="7" max="7" width="12.140625" style="1" bestFit="1" customWidth="1"/>
    <col min="8" max="8" width="18.42578125" style="1" bestFit="1" customWidth="1"/>
    <col min="9" max="10" width="12.140625" style="1" customWidth="1"/>
    <col min="11" max="11" width="9.140625" style="1"/>
    <col min="12" max="12" width="18.42578125" style="1" bestFit="1" customWidth="1"/>
    <col min="13" max="13" width="9.140625" style="1"/>
    <col min="14" max="14" width="18.42578125" style="1" bestFit="1" customWidth="1"/>
    <col min="15" max="15" width="9.140625" style="1"/>
    <col min="16" max="16" width="18.42578125" style="1" bestFit="1" customWidth="1"/>
    <col min="17" max="17" width="9.140625" style="1"/>
    <col min="18" max="18" width="18.42578125" style="1" bestFit="1" customWidth="1"/>
    <col min="19" max="19" width="9.140625" style="1"/>
    <col min="20" max="20" width="18.42578125" style="1" bestFit="1" customWidth="1"/>
    <col min="21" max="21" width="9.140625" style="1"/>
    <col min="22" max="22" width="18.42578125" style="1" bestFit="1" customWidth="1"/>
    <col min="23" max="23" width="9.140625" style="1"/>
    <col min="24" max="24" width="18.42578125" style="1" bestFit="1" customWidth="1"/>
    <col min="25" max="25" width="9.140625" style="1"/>
    <col min="26" max="26" width="18.42578125" style="1" bestFit="1" customWidth="1"/>
    <col min="27" max="27" width="9.140625" style="1"/>
    <col min="28" max="28" width="18.42578125" style="1" bestFit="1" customWidth="1"/>
    <col min="29" max="29" width="9.140625" style="1"/>
    <col min="30" max="30" width="18.42578125" style="1" bestFit="1" customWidth="1"/>
    <col min="31" max="31" width="9.140625" style="1"/>
    <col min="32" max="32" width="18.42578125" style="1" bestFit="1" customWidth="1"/>
    <col min="33" max="16384" width="9.140625" style="1"/>
  </cols>
  <sheetData>
    <row r="1" spans="1:2" ht="15.75" thickBot="1" x14ac:dyDescent="0.3">
      <c r="A1" s="60" t="s">
        <v>0</v>
      </c>
      <c r="B1" s="60" t="s">
        <v>5</v>
      </c>
    </row>
    <row r="2" spans="1:2" x14ac:dyDescent="0.25">
      <c r="A2" s="5">
        <v>1</v>
      </c>
      <c r="B2" s="8">
        <v>55</v>
      </c>
    </row>
    <row r="3" spans="1:2" x14ac:dyDescent="0.25">
      <c r="A3" s="5">
        <v>2</v>
      </c>
      <c r="B3" s="8">
        <v>46</v>
      </c>
    </row>
    <row r="4" spans="1:2" x14ac:dyDescent="0.25">
      <c r="A4" s="5">
        <v>3</v>
      </c>
      <c r="B4" s="8">
        <v>58</v>
      </c>
    </row>
    <row r="5" spans="1:2" x14ac:dyDescent="0.25">
      <c r="A5" s="5">
        <v>4</v>
      </c>
      <c r="B5" s="8">
        <v>37</v>
      </c>
    </row>
    <row r="6" spans="1:2" x14ac:dyDescent="0.25">
      <c r="A6" s="5">
        <v>5</v>
      </c>
      <c r="B6" s="8">
        <v>32</v>
      </c>
    </row>
    <row r="7" spans="1:2" x14ac:dyDescent="0.25">
      <c r="A7" s="5">
        <v>6</v>
      </c>
      <c r="B7" s="8">
        <v>48</v>
      </c>
    </row>
    <row r="8" spans="1:2" x14ac:dyDescent="0.25">
      <c r="A8" s="5">
        <v>7</v>
      </c>
      <c r="B8" s="8">
        <v>67</v>
      </c>
    </row>
    <row r="9" spans="1:2" x14ac:dyDescent="0.25">
      <c r="A9" s="5">
        <v>8</v>
      </c>
      <c r="B9" s="8">
        <v>68</v>
      </c>
    </row>
    <row r="10" spans="1:2" x14ac:dyDescent="0.25">
      <c r="A10" s="5">
        <v>9</v>
      </c>
      <c r="B10" s="8">
        <v>52</v>
      </c>
    </row>
    <row r="11" spans="1:2" x14ac:dyDescent="0.25">
      <c r="A11" s="5">
        <v>10</v>
      </c>
      <c r="B11" s="8">
        <v>42</v>
      </c>
    </row>
    <row r="12" spans="1:2" x14ac:dyDescent="0.25">
      <c r="A12" s="5">
        <v>11</v>
      </c>
      <c r="B12" s="8">
        <v>32</v>
      </c>
    </row>
    <row r="13" spans="1:2" x14ac:dyDescent="0.25">
      <c r="A13" s="5">
        <v>12</v>
      </c>
      <c r="B13" s="8">
        <v>43</v>
      </c>
    </row>
    <row r="14" spans="1:2" x14ac:dyDescent="0.25">
      <c r="A14" s="5">
        <v>13</v>
      </c>
      <c r="B14" s="8">
        <v>37</v>
      </c>
    </row>
    <row r="15" spans="1:2" x14ac:dyDescent="0.25">
      <c r="A15" s="5">
        <v>14</v>
      </c>
      <c r="B15" s="8">
        <v>61</v>
      </c>
    </row>
    <row r="16" spans="1:2" x14ac:dyDescent="0.25">
      <c r="A16" s="5">
        <v>15</v>
      </c>
      <c r="B16" s="8">
        <v>45</v>
      </c>
    </row>
    <row r="17" spans="1:12" x14ac:dyDescent="0.25">
      <c r="A17" s="5">
        <v>16</v>
      </c>
      <c r="B17" s="8">
        <v>48</v>
      </c>
    </row>
    <row r="18" spans="1:12" ht="15.75" thickBot="1" x14ac:dyDescent="0.3">
      <c r="A18" s="5">
        <v>17</v>
      </c>
      <c r="B18" s="8">
        <v>53</v>
      </c>
    </row>
    <row r="19" spans="1:12" ht="15.75" thickBot="1" x14ac:dyDescent="0.3">
      <c r="A19" s="5">
        <v>18</v>
      </c>
      <c r="B19" s="8">
        <v>38</v>
      </c>
      <c r="D19" s="83" t="s">
        <v>45</v>
      </c>
      <c r="E19" s="84" t="s">
        <v>46</v>
      </c>
    </row>
    <row r="20" spans="1:12" ht="15.75" thickBot="1" x14ac:dyDescent="0.3">
      <c r="A20" s="5">
        <v>19</v>
      </c>
      <c r="B20" s="8">
        <v>57</v>
      </c>
      <c r="D20" s="127">
        <v>0.9</v>
      </c>
      <c r="E20" s="128">
        <v>0.9</v>
      </c>
    </row>
    <row r="21" spans="1:12" ht="15.75" thickBot="1" x14ac:dyDescent="0.3">
      <c r="A21" s="6">
        <v>20</v>
      </c>
      <c r="B21" s="10">
        <v>40</v>
      </c>
    </row>
    <row r="22" spans="1:12" ht="15.75" thickBot="1" x14ac:dyDescent="0.3">
      <c r="A22" s="312" t="s">
        <v>49</v>
      </c>
      <c r="B22" s="313"/>
      <c r="C22" s="313"/>
      <c r="D22" s="313"/>
      <c r="E22" s="313"/>
      <c r="F22" s="313"/>
      <c r="G22" s="313"/>
      <c r="H22" s="314"/>
    </row>
    <row r="23" spans="1:12" ht="15.75" thickBot="1" x14ac:dyDescent="0.3">
      <c r="A23" s="4" t="s">
        <v>0</v>
      </c>
      <c r="B23" s="4" t="s">
        <v>5</v>
      </c>
      <c r="C23" s="26" t="s">
        <v>45</v>
      </c>
      <c r="D23" s="4" t="s">
        <v>46</v>
      </c>
      <c r="E23" s="2" t="s">
        <v>42</v>
      </c>
      <c r="F23" s="2" t="s">
        <v>43</v>
      </c>
      <c r="G23" s="2" t="s">
        <v>44</v>
      </c>
      <c r="H23" s="4" t="s">
        <v>33</v>
      </c>
    </row>
    <row r="24" spans="1:12" x14ac:dyDescent="0.25">
      <c r="A24" s="5">
        <v>1</v>
      </c>
      <c r="B24" s="8">
        <v>55</v>
      </c>
      <c r="C24" s="37">
        <v>0.1</v>
      </c>
      <c r="D24" s="34">
        <v>0.1</v>
      </c>
      <c r="E24" s="34">
        <f>B24</f>
        <v>55</v>
      </c>
      <c r="F24" s="34">
        <f>SLOPE(B24:B43,A24:A43)</f>
        <v>-0.20676691729323307</v>
      </c>
      <c r="G24" s="35">
        <f>E24+F24</f>
        <v>54.79323308270677</v>
      </c>
      <c r="H24" s="41">
        <f>ABS(B24-G24)</f>
        <v>0.20676691729322982</v>
      </c>
    </row>
    <row r="25" spans="1:12" x14ac:dyDescent="0.25">
      <c r="A25" s="5">
        <v>2</v>
      </c>
      <c r="B25" s="8">
        <v>46</v>
      </c>
      <c r="C25" s="38">
        <v>0.2</v>
      </c>
      <c r="D25" s="36">
        <v>0.2</v>
      </c>
      <c r="E25" s="36">
        <f>($D$20*B24)+((1-$D$20)*(E24+F24))</f>
        <v>54.979323308270679</v>
      </c>
      <c r="F25" s="36">
        <f>($E$20*(E25-E24))+((1-$E$20)*F24)</f>
        <v>-3.9285714285712071E-2</v>
      </c>
      <c r="G25" s="32">
        <f t="shared" ref="G25:G33" si="0">E25+F25</f>
        <v>54.940037593984968</v>
      </c>
      <c r="H25" s="42">
        <f>ABS(B25-G25)</f>
        <v>8.9400375939849681</v>
      </c>
      <c r="L25" s="29"/>
    </row>
    <row r="26" spans="1:12" x14ac:dyDescent="0.25">
      <c r="A26" s="5">
        <v>3</v>
      </c>
      <c r="B26" s="8">
        <v>58</v>
      </c>
      <c r="C26" s="38">
        <v>0.3</v>
      </c>
      <c r="D26" s="36">
        <v>0.3</v>
      </c>
      <c r="E26" s="36">
        <f t="shared" ref="E26:E33" si="1">($D$20*B25)+((1-$D$20)*(E25+F25))</f>
        <v>46.894003759398494</v>
      </c>
      <c r="F26" s="36">
        <f t="shared" ref="F26:F33" si="2">($E$20*(E26-E25))+((1-$E$20)*F25)</f>
        <v>-7.2807161654135379</v>
      </c>
      <c r="G26" s="32">
        <f t="shared" si="0"/>
        <v>39.613287593984957</v>
      </c>
      <c r="H26" s="42">
        <f>ABS(B26-G26)</f>
        <v>18.386712406015043</v>
      </c>
      <c r="L26" s="29"/>
    </row>
    <row r="27" spans="1:12" x14ac:dyDescent="0.25">
      <c r="A27" s="5">
        <v>4</v>
      </c>
      <c r="B27" s="8">
        <v>37</v>
      </c>
      <c r="C27" s="38">
        <v>0.4</v>
      </c>
      <c r="D27" s="36">
        <v>0.4</v>
      </c>
      <c r="E27" s="36">
        <f t="shared" si="1"/>
        <v>56.161328759398501</v>
      </c>
      <c r="F27" s="36">
        <f t="shared" si="2"/>
        <v>7.6125208834586529</v>
      </c>
      <c r="G27" s="32">
        <f t="shared" si="0"/>
        <v>63.773849642857151</v>
      </c>
      <c r="H27" s="42">
        <f>ABS(B27-G27)</f>
        <v>26.773849642857151</v>
      </c>
      <c r="L27" s="29"/>
    </row>
    <row r="28" spans="1:12" x14ac:dyDescent="0.25">
      <c r="A28" s="5">
        <v>5</v>
      </c>
      <c r="B28" s="8">
        <v>32</v>
      </c>
      <c r="C28" s="38">
        <v>0.5</v>
      </c>
      <c r="D28" s="36">
        <v>0.5</v>
      </c>
      <c r="E28" s="36">
        <f t="shared" si="1"/>
        <v>39.677384964285721</v>
      </c>
      <c r="F28" s="36">
        <f t="shared" si="2"/>
        <v>-14.074297327255637</v>
      </c>
      <c r="G28" s="32">
        <f t="shared" si="0"/>
        <v>25.603087637030086</v>
      </c>
      <c r="H28" s="42">
        <f t="shared" ref="H28:H33" si="3">ABS(B28-G28)</f>
        <v>6.3969123629699141</v>
      </c>
      <c r="L28" s="29"/>
    </row>
    <row r="29" spans="1:12" x14ac:dyDescent="0.25">
      <c r="A29" s="5">
        <v>6</v>
      </c>
      <c r="B29" s="8">
        <v>48</v>
      </c>
      <c r="C29" s="38">
        <v>0.6</v>
      </c>
      <c r="D29" s="36">
        <v>0.6</v>
      </c>
      <c r="E29" s="36">
        <f t="shared" si="1"/>
        <v>31.36030876370301</v>
      </c>
      <c r="F29" s="36">
        <f t="shared" si="2"/>
        <v>-8.8927983132500046</v>
      </c>
      <c r="G29" s="32">
        <f t="shared" si="0"/>
        <v>22.467510450453005</v>
      </c>
      <c r="H29" s="42">
        <f t="shared" si="3"/>
        <v>25.532489549546995</v>
      </c>
      <c r="L29" s="29"/>
    </row>
    <row r="30" spans="1:12" x14ac:dyDescent="0.25">
      <c r="A30" s="5">
        <v>7</v>
      </c>
      <c r="B30" s="8">
        <v>67</v>
      </c>
      <c r="C30" s="38">
        <v>0.7</v>
      </c>
      <c r="D30" s="36">
        <v>0.7</v>
      </c>
      <c r="E30" s="36">
        <f t="shared" si="1"/>
        <v>45.446751045045303</v>
      </c>
      <c r="F30" s="36">
        <f t="shared" si="2"/>
        <v>11.788518221883065</v>
      </c>
      <c r="G30" s="32">
        <f t="shared" si="0"/>
        <v>57.23526926692837</v>
      </c>
      <c r="H30" s="42">
        <f t="shared" si="3"/>
        <v>9.7647307330716302</v>
      </c>
      <c r="L30" s="29"/>
    </row>
    <row r="31" spans="1:12" x14ac:dyDescent="0.25">
      <c r="A31" s="5">
        <v>8</v>
      </c>
      <c r="B31" s="8">
        <v>68</v>
      </c>
      <c r="C31" s="38">
        <v>0.8</v>
      </c>
      <c r="D31" s="36">
        <v>0.8</v>
      </c>
      <c r="E31" s="36">
        <f t="shared" si="1"/>
        <v>66.023526926692838</v>
      </c>
      <c r="F31" s="36">
        <f t="shared" si="2"/>
        <v>19.697950115671087</v>
      </c>
      <c r="G31" s="32">
        <f t="shared" si="0"/>
        <v>85.721477042363929</v>
      </c>
      <c r="H31" s="42">
        <f t="shared" si="3"/>
        <v>17.721477042363929</v>
      </c>
      <c r="L31" s="29"/>
    </row>
    <row r="32" spans="1:12" x14ac:dyDescent="0.25">
      <c r="A32" s="5">
        <v>9</v>
      </c>
      <c r="B32" s="8">
        <v>52</v>
      </c>
      <c r="C32" s="38">
        <v>0.9</v>
      </c>
      <c r="D32" s="36">
        <v>0.9</v>
      </c>
      <c r="E32" s="36">
        <f t="shared" si="1"/>
        <v>69.772147704236389</v>
      </c>
      <c r="F32" s="36">
        <f t="shared" si="2"/>
        <v>5.3435537113563036</v>
      </c>
      <c r="G32" s="32">
        <f t="shared" si="0"/>
        <v>75.115701415592696</v>
      </c>
      <c r="H32" s="42">
        <f t="shared" si="3"/>
        <v>23.115701415592696</v>
      </c>
      <c r="L32" s="29"/>
    </row>
    <row r="33" spans="1:12" ht="15.75" thickBot="1" x14ac:dyDescent="0.3">
      <c r="A33" s="5">
        <v>10</v>
      </c>
      <c r="B33" s="8">
        <v>42</v>
      </c>
      <c r="C33" s="39"/>
      <c r="D33" s="40"/>
      <c r="E33" s="40">
        <f t="shared" si="1"/>
        <v>54.311570141559272</v>
      </c>
      <c r="F33" s="40">
        <f t="shared" si="2"/>
        <v>-13.380164435273775</v>
      </c>
      <c r="G33" s="33">
        <f t="shared" si="0"/>
        <v>40.931405706285496</v>
      </c>
      <c r="H33" s="42">
        <f t="shared" si="3"/>
        <v>1.0685942937145043</v>
      </c>
      <c r="L33" s="29"/>
    </row>
    <row r="34" spans="1:12" x14ac:dyDescent="0.25">
      <c r="A34" s="5">
        <v>11</v>
      </c>
      <c r="B34" s="8">
        <v>32</v>
      </c>
      <c r="C34" s="38"/>
      <c r="D34" s="36"/>
      <c r="E34" s="36">
        <v>78.77</v>
      </c>
      <c r="F34" s="36">
        <v>0.76970000000000005</v>
      </c>
      <c r="G34" s="32">
        <f>E34+F34</f>
        <v>79.539699999999996</v>
      </c>
      <c r="H34" s="42">
        <f>ABS(B34-G34)</f>
        <v>47.539699999999996</v>
      </c>
    </row>
    <row r="35" spans="1:12" x14ac:dyDescent="0.25">
      <c r="A35" s="5">
        <v>12</v>
      </c>
      <c r="B35" s="8">
        <v>43</v>
      </c>
      <c r="C35" s="38"/>
      <c r="D35" s="36"/>
      <c r="E35" s="36">
        <f>($D$20*B34)+((1-$D$20)*(E34+F34))</f>
        <v>36.753969999999995</v>
      </c>
      <c r="F35" s="28">
        <f>($E$20*(E35-E34))+((1-$E$20)*F34)</f>
        <v>-37.737456999999999</v>
      </c>
      <c r="G35" s="32">
        <f t="shared" ref="G35:G43" si="4">E35+F35</f>
        <v>-0.98348700000000377</v>
      </c>
      <c r="H35" s="42">
        <f t="shared" ref="H35:H43" si="5">ABS(B35-G35)</f>
        <v>43.983487000000004</v>
      </c>
    </row>
    <row r="36" spans="1:12" x14ac:dyDescent="0.25">
      <c r="A36" s="5">
        <v>13</v>
      </c>
      <c r="B36" s="8">
        <v>37</v>
      </c>
      <c r="C36" s="38"/>
      <c r="D36" s="36"/>
      <c r="E36" s="36">
        <f t="shared" ref="E36:E43" si="6">($D$20*B35)+((1-$D$20)*(E35+F35))</f>
        <v>38.6016513</v>
      </c>
      <c r="F36" s="28">
        <f t="shared" ref="F36:F43" si="7">($E$20*(E36-E35))+((1-$E$20)*F35)</f>
        <v>-2.1108325299999944</v>
      </c>
      <c r="G36" s="32">
        <f t="shared" si="4"/>
        <v>36.490818770000004</v>
      </c>
      <c r="H36" s="42">
        <f t="shared" si="5"/>
        <v>0.50918122999999582</v>
      </c>
    </row>
    <row r="37" spans="1:12" x14ac:dyDescent="0.25">
      <c r="A37" s="5">
        <v>14</v>
      </c>
      <c r="B37" s="8">
        <v>61</v>
      </c>
      <c r="C37" s="38"/>
      <c r="D37" s="36"/>
      <c r="E37" s="36">
        <f t="shared" si="6"/>
        <v>36.949081877000005</v>
      </c>
      <c r="F37" s="28">
        <f t="shared" si="7"/>
        <v>-1.6983957336999955</v>
      </c>
      <c r="G37" s="32">
        <f t="shared" si="4"/>
        <v>35.250686143300008</v>
      </c>
      <c r="H37" s="42">
        <f t="shared" si="5"/>
        <v>25.749313856699992</v>
      </c>
    </row>
    <row r="38" spans="1:12" x14ac:dyDescent="0.25">
      <c r="A38" s="5">
        <v>15</v>
      </c>
      <c r="B38" s="8">
        <v>45</v>
      </c>
      <c r="C38" s="38"/>
      <c r="D38" s="36"/>
      <c r="E38" s="36">
        <f t="shared" si="6"/>
        <v>58.425068614330002</v>
      </c>
      <c r="F38" s="28">
        <f t="shared" si="7"/>
        <v>19.158548490226998</v>
      </c>
      <c r="G38" s="32">
        <f t="shared" si="4"/>
        <v>77.583617104556993</v>
      </c>
      <c r="H38" s="42">
        <f t="shared" si="5"/>
        <v>32.583617104556993</v>
      </c>
    </row>
    <row r="39" spans="1:12" x14ac:dyDescent="0.25">
      <c r="A39" s="5">
        <v>16</v>
      </c>
      <c r="B39" s="8">
        <v>48</v>
      </c>
      <c r="C39" s="38"/>
      <c r="D39" s="36"/>
      <c r="E39" s="36">
        <f t="shared" si="6"/>
        <v>48.258361710455695</v>
      </c>
      <c r="F39" s="28">
        <f t="shared" si="7"/>
        <v>-7.2341813644641766</v>
      </c>
      <c r="G39" s="32">
        <f t="shared" si="4"/>
        <v>41.024180345991518</v>
      </c>
      <c r="H39" s="42">
        <f t="shared" si="5"/>
        <v>6.9758196540084825</v>
      </c>
    </row>
    <row r="40" spans="1:12" x14ac:dyDescent="0.25">
      <c r="A40" s="5">
        <v>17</v>
      </c>
      <c r="B40" s="8">
        <v>53</v>
      </c>
      <c r="C40" s="38"/>
      <c r="D40" s="36"/>
      <c r="E40" s="36">
        <f t="shared" si="6"/>
        <v>47.302418034599157</v>
      </c>
      <c r="F40" s="28">
        <f t="shared" si="7"/>
        <v>-1.583767444717302</v>
      </c>
      <c r="G40" s="32">
        <f t="shared" si="4"/>
        <v>45.718650589881854</v>
      </c>
      <c r="H40" s="42">
        <f t="shared" si="5"/>
        <v>7.2813494101181462</v>
      </c>
    </row>
    <row r="41" spans="1:12" x14ac:dyDescent="0.25">
      <c r="A41" s="5">
        <v>18</v>
      </c>
      <c r="B41" s="8">
        <v>38</v>
      </c>
      <c r="C41" s="38"/>
      <c r="D41" s="36"/>
      <c r="E41" s="36">
        <f t="shared" si="6"/>
        <v>52.271865058988183</v>
      </c>
      <c r="F41" s="28">
        <f t="shared" si="7"/>
        <v>4.3141255774783938</v>
      </c>
      <c r="G41" s="32">
        <f t="shared" si="4"/>
        <v>56.585990636466576</v>
      </c>
      <c r="H41" s="42">
        <f t="shared" si="5"/>
        <v>18.585990636466576</v>
      </c>
    </row>
    <row r="42" spans="1:12" x14ac:dyDescent="0.25">
      <c r="A42" s="5">
        <v>19</v>
      </c>
      <c r="B42" s="8">
        <v>57</v>
      </c>
      <c r="C42" s="38"/>
      <c r="D42" s="36"/>
      <c r="E42" s="36">
        <f t="shared" si="6"/>
        <v>39.858599063646658</v>
      </c>
      <c r="F42" s="28">
        <f t="shared" si="7"/>
        <v>-10.740526838059534</v>
      </c>
      <c r="G42" s="32">
        <f t="shared" si="4"/>
        <v>29.118072225587124</v>
      </c>
      <c r="H42" s="42">
        <f t="shared" si="5"/>
        <v>27.881927774412876</v>
      </c>
    </row>
    <row r="43" spans="1:12" ht="15.75" thickBot="1" x14ac:dyDescent="0.3">
      <c r="A43" s="6">
        <v>20</v>
      </c>
      <c r="B43" s="10">
        <v>40</v>
      </c>
      <c r="C43" s="39"/>
      <c r="D43" s="40"/>
      <c r="E43" s="36">
        <f t="shared" si="6"/>
        <v>54.211807222558718</v>
      </c>
      <c r="F43" s="28">
        <f t="shared" si="7"/>
        <v>11.843834659214902</v>
      </c>
      <c r="G43" s="32">
        <f t="shared" si="4"/>
        <v>66.055641881773624</v>
      </c>
      <c r="H43" s="42">
        <f t="shared" si="5"/>
        <v>26.055641881773624</v>
      </c>
    </row>
    <row r="44" spans="1:12" ht="15.75" thickBot="1" x14ac:dyDescent="0.3">
      <c r="A44" s="306" t="s">
        <v>6</v>
      </c>
      <c r="B44" s="307"/>
      <c r="C44" s="80"/>
      <c r="D44" s="78"/>
      <c r="E44" s="78"/>
      <c r="F44" s="78"/>
      <c r="G44" s="78"/>
      <c r="H44" s="79">
        <f>AVERAGE(H34:H43)</f>
        <v>23.714602854803665</v>
      </c>
    </row>
    <row r="45" spans="1:12" x14ac:dyDescent="0.25">
      <c r="A45" s="24"/>
      <c r="B45" s="24"/>
      <c r="C45" s="51"/>
      <c r="D45" s="51"/>
      <c r="E45" s="51"/>
      <c r="F45" s="51"/>
      <c r="G45" s="51"/>
      <c r="H45" s="51"/>
    </row>
    <row r="46" spans="1:12" ht="15.75" thickBot="1" x14ac:dyDescent="0.3">
      <c r="J46" s="15"/>
    </row>
    <row r="47" spans="1:12" ht="15.75" thickBot="1" x14ac:dyDescent="0.3">
      <c r="A47" s="312" t="s">
        <v>47</v>
      </c>
      <c r="B47" s="313"/>
      <c r="C47" s="313"/>
      <c r="D47" s="314"/>
    </row>
    <row r="48" spans="1:12" ht="15.75" thickBot="1" x14ac:dyDescent="0.3">
      <c r="A48" s="26" t="s">
        <v>45</v>
      </c>
      <c r="B48" s="2" t="s">
        <v>46</v>
      </c>
      <c r="C48" s="4" t="s">
        <v>6</v>
      </c>
      <c r="D48" s="4" t="s">
        <v>58</v>
      </c>
    </row>
    <row r="49" spans="1:4" x14ac:dyDescent="0.25">
      <c r="A49" s="11">
        <v>0.1</v>
      </c>
      <c r="B49" s="7">
        <v>0.1</v>
      </c>
      <c r="C49" s="42">
        <v>20.559584901035304</v>
      </c>
      <c r="D49" s="42">
        <f>MIN(C49:C129)</f>
        <v>13.448303127570478</v>
      </c>
    </row>
    <row r="50" spans="1:4" x14ac:dyDescent="0.25">
      <c r="A50" s="11">
        <v>0.1</v>
      </c>
      <c r="B50" s="7">
        <v>0.2</v>
      </c>
      <c r="C50" s="42">
        <v>18.287229447670718</v>
      </c>
      <c r="D50" s="42"/>
    </row>
    <row r="51" spans="1:4" x14ac:dyDescent="0.25">
      <c r="A51" s="11">
        <v>0.1</v>
      </c>
      <c r="B51" s="7">
        <v>0.3</v>
      </c>
      <c r="C51" s="42">
        <v>16.431011006341034</v>
      </c>
      <c r="D51" s="42"/>
    </row>
    <row r="52" spans="1:4" x14ac:dyDescent="0.25">
      <c r="A52" s="11">
        <v>0.1</v>
      </c>
      <c r="B52" s="7">
        <v>0.4</v>
      </c>
      <c r="C52" s="42">
        <v>15.917362095011985</v>
      </c>
      <c r="D52" s="42"/>
    </row>
    <row r="53" spans="1:4" x14ac:dyDescent="0.25">
      <c r="A53" s="11">
        <v>0.1</v>
      </c>
      <c r="B53" s="7">
        <v>0.5</v>
      </c>
      <c r="C53" s="42">
        <v>15.982798797230481</v>
      </c>
      <c r="D53" s="42"/>
    </row>
    <row r="54" spans="1:4" x14ac:dyDescent="0.25">
      <c r="A54" s="11">
        <v>0.1</v>
      </c>
      <c r="B54" s="7">
        <v>0.6</v>
      </c>
      <c r="C54" s="42">
        <v>16.721241973240318</v>
      </c>
      <c r="D54" s="42"/>
    </row>
    <row r="55" spans="1:4" x14ac:dyDescent="0.25">
      <c r="A55" s="11">
        <v>0.1</v>
      </c>
      <c r="B55" s="7">
        <v>0.7</v>
      </c>
      <c r="C55" s="42">
        <v>17.812712515588384</v>
      </c>
      <c r="D55" s="42"/>
    </row>
    <row r="56" spans="1:4" x14ac:dyDescent="0.25">
      <c r="A56" s="11">
        <v>0.1</v>
      </c>
      <c r="B56" s="7">
        <v>0.8</v>
      </c>
      <c r="C56" s="42">
        <v>18.662510445951568</v>
      </c>
      <c r="D56" s="42"/>
    </row>
    <row r="57" spans="1:4" x14ac:dyDescent="0.25">
      <c r="A57" s="11">
        <v>0.1</v>
      </c>
      <c r="B57" s="7">
        <v>0.9</v>
      </c>
      <c r="C57" s="42">
        <v>19.296160557867196</v>
      </c>
      <c r="D57" s="42"/>
    </row>
    <row r="58" spans="1:4" x14ac:dyDescent="0.25">
      <c r="A58" s="11">
        <v>0.2</v>
      </c>
      <c r="B58" s="7">
        <v>0.1</v>
      </c>
      <c r="C58" s="42">
        <v>15.360890491922126</v>
      </c>
      <c r="D58" s="42"/>
    </row>
    <row r="59" spans="1:4" x14ac:dyDescent="0.25">
      <c r="A59" s="11">
        <v>0.2</v>
      </c>
      <c r="B59" s="7">
        <v>0.2</v>
      </c>
      <c r="C59" s="42">
        <v>14.520824161364114</v>
      </c>
      <c r="D59" s="42"/>
    </row>
    <row r="60" spans="1:4" x14ac:dyDescent="0.25">
      <c r="A60" s="11">
        <v>0.2</v>
      </c>
      <c r="B60" s="7">
        <v>0.3</v>
      </c>
      <c r="C60" s="42">
        <v>15.207543118296106</v>
      </c>
      <c r="D60" s="42"/>
    </row>
    <row r="61" spans="1:4" x14ac:dyDescent="0.25">
      <c r="A61" s="11">
        <v>0.2</v>
      </c>
      <c r="B61" s="7">
        <v>0.4</v>
      </c>
      <c r="C61" s="42">
        <v>16.149186460179109</v>
      </c>
      <c r="D61" s="42"/>
    </row>
    <row r="62" spans="1:4" x14ac:dyDescent="0.25">
      <c r="A62" s="11">
        <v>0.2</v>
      </c>
      <c r="B62" s="7">
        <v>0.5</v>
      </c>
      <c r="C62" s="42">
        <v>17.244459625218592</v>
      </c>
      <c r="D62" s="42"/>
    </row>
    <row r="63" spans="1:4" x14ac:dyDescent="0.25">
      <c r="A63" s="11">
        <v>0.2</v>
      </c>
      <c r="B63" s="7">
        <v>0.6</v>
      </c>
      <c r="C63" s="42">
        <v>17.802738727495576</v>
      </c>
      <c r="D63" s="42"/>
    </row>
    <row r="64" spans="1:4" x14ac:dyDescent="0.25">
      <c r="A64" s="11">
        <v>0.2</v>
      </c>
      <c r="B64" s="7">
        <v>0.7</v>
      </c>
      <c r="C64" s="42">
        <v>18.448327675507738</v>
      </c>
      <c r="D64" s="42"/>
    </row>
    <row r="65" spans="1:4" x14ac:dyDescent="0.25">
      <c r="A65" s="11">
        <v>0.2</v>
      </c>
      <c r="B65" s="7">
        <v>0.8</v>
      </c>
      <c r="C65" s="42">
        <v>18.865371962269116</v>
      </c>
      <c r="D65" s="42"/>
    </row>
    <row r="66" spans="1:4" x14ac:dyDescent="0.25">
      <c r="A66" s="11">
        <v>0.2</v>
      </c>
      <c r="B66" s="7">
        <v>0.9</v>
      </c>
      <c r="C66" s="42">
        <v>19.041078229913705</v>
      </c>
      <c r="D66" s="42"/>
    </row>
    <row r="67" spans="1:4" x14ac:dyDescent="0.25">
      <c r="A67" s="11">
        <v>0.3</v>
      </c>
      <c r="B67" s="7">
        <v>0.1</v>
      </c>
      <c r="C67" s="42">
        <v>14.328059522870086</v>
      </c>
      <c r="D67" s="42"/>
    </row>
    <row r="68" spans="1:4" x14ac:dyDescent="0.25">
      <c r="A68" s="11">
        <v>0.3</v>
      </c>
      <c r="B68" s="7">
        <v>0.2</v>
      </c>
      <c r="C68" s="42">
        <v>14.517336563023354</v>
      </c>
      <c r="D68" s="42"/>
    </row>
    <row r="69" spans="1:4" x14ac:dyDescent="0.25">
      <c r="A69" s="11">
        <v>0.3</v>
      </c>
      <c r="B69" s="7">
        <v>0.3</v>
      </c>
      <c r="C69" s="42">
        <v>15.327084296813416</v>
      </c>
      <c r="D69" s="42"/>
    </row>
    <row r="70" spans="1:4" x14ac:dyDescent="0.25">
      <c r="A70" s="11">
        <v>0.3</v>
      </c>
      <c r="B70" s="7">
        <v>0.4</v>
      </c>
      <c r="C70" s="42">
        <v>16.180292583759638</v>
      </c>
      <c r="D70" s="42"/>
    </row>
    <row r="71" spans="1:4" x14ac:dyDescent="0.25">
      <c r="A71" s="11">
        <v>0.3</v>
      </c>
      <c r="B71" s="7">
        <v>0.5</v>
      </c>
      <c r="C71" s="42">
        <v>16.826049061491943</v>
      </c>
      <c r="D71" s="42"/>
    </row>
    <row r="72" spans="1:4" x14ac:dyDescent="0.25">
      <c r="A72" s="11">
        <v>0.3</v>
      </c>
      <c r="B72" s="7">
        <v>0.6</v>
      </c>
      <c r="C72" s="42">
        <v>17.252217622746521</v>
      </c>
      <c r="D72" s="42"/>
    </row>
    <row r="73" spans="1:4" x14ac:dyDescent="0.25">
      <c r="A73" s="11">
        <v>0.3</v>
      </c>
      <c r="B73" s="7">
        <v>0.7</v>
      </c>
      <c r="C73" s="42">
        <v>17.457640875462591</v>
      </c>
      <c r="D73" s="42"/>
    </row>
    <row r="74" spans="1:4" x14ac:dyDescent="0.25">
      <c r="A74" s="11">
        <v>0.3</v>
      </c>
      <c r="B74" s="7">
        <v>0.8</v>
      </c>
      <c r="C74" s="42">
        <v>17.44973510423133</v>
      </c>
      <c r="D74" s="42"/>
    </row>
    <row r="75" spans="1:4" x14ac:dyDescent="0.25">
      <c r="A75" s="11">
        <v>0.3</v>
      </c>
      <c r="B75" s="7">
        <v>0.9</v>
      </c>
      <c r="C75" s="42">
        <v>17.577394307496341</v>
      </c>
      <c r="D75" s="42"/>
    </row>
    <row r="76" spans="1:4" x14ac:dyDescent="0.25">
      <c r="A76" s="11">
        <v>0.4</v>
      </c>
      <c r="B76" s="7">
        <v>0.1</v>
      </c>
      <c r="C76" s="42">
        <v>14.118712398864821</v>
      </c>
      <c r="D76" s="42"/>
    </row>
    <row r="77" spans="1:4" x14ac:dyDescent="0.25">
      <c r="A77" s="11">
        <v>0.4</v>
      </c>
      <c r="B77" s="7">
        <v>0.2</v>
      </c>
      <c r="C77" s="42">
        <v>14.388438515643893</v>
      </c>
      <c r="D77" s="42"/>
    </row>
    <row r="78" spans="1:4" x14ac:dyDescent="0.25">
      <c r="A78" s="11">
        <v>0.4</v>
      </c>
      <c r="B78" s="7">
        <v>0.3</v>
      </c>
      <c r="C78" s="42">
        <v>15.101766987669691</v>
      </c>
      <c r="D78" s="42"/>
    </row>
    <row r="79" spans="1:4" x14ac:dyDescent="0.25">
      <c r="A79" s="11">
        <v>0.4</v>
      </c>
      <c r="B79" s="7">
        <v>0.4</v>
      </c>
      <c r="C79" s="42">
        <v>15.506806557295736</v>
      </c>
      <c r="D79" s="42"/>
    </row>
    <row r="80" spans="1:4" x14ac:dyDescent="0.25">
      <c r="A80" s="11">
        <v>0.4</v>
      </c>
      <c r="B80" s="7">
        <v>0.5</v>
      </c>
      <c r="C80" s="42">
        <v>15.603130804986881</v>
      </c>
      <c r="D80" s="42"/>
    </row>
    <row r="81" spans="1:4" x14ac:dyDescent="0.25">
      <c r="A81" s="11">
        <v>0.4</v>
      </c>
      <c r="B81" s="7">
        <v>0.6</v>
      </c>
      <c r="C81" s="42">
        <v>15.842883472332028</v>
      </c>
      <c r="D81" s="42"/>
    </row>
    <row r="82" spans="1:4" x14ac:dyDescent="0.25">
      <c r="A82" s="11">
        <v>0.4</v>
      </c>
      <c r="B82" s="7">
        <v>0.7</v>
      </c>
      <c r="C82" s="42">
        <v>15.951835528747489</v>
      </c>
      <c r="D82" s="42"/>
    </row>
    <row r="83" spans="1:4" x14ac:dyDescent="0.25">
      <c r="A83" s="11">
        <v>0.4</v>
      </c>
      <c r="B83" s="7">
        <v>0.8</v>
      </c>
      <c r="C83" s="42">
        <v>15.81614383814026</v>
      </c>
      <c r="D83" s="42"/>
    </row>
    <row r="84" spans="1:4" x14ac:dyDescent="0.25">
      <c r="A84" s="11">
        <v>0.4</v>
      </c>
      <c r="B84" s="7">
        <v>0.9</v>
      </c>
      <c r="C84" s="42">
        <v>15.480896699077974</v>
      </c>
      <c r="D84" s="42"/>
    </row>
    <row r="85" spans="1:4" x14ac:dyDescent="0.25">
      <c r="A85" s="11">
        <v>0.5</v>
      </c>
      <c r="B85" s="7">
        <v>0.1</v>
      </c>
      <c r="C85" s="42">
        <v>13.837741418090683</v>
      </c>
      <c r="D85" s="42"/>
    </row>
    <row r="86" spans="1:4" x14ac:dyDescent="0.25">
      <c r="A86" s="11">
        <v>0.5</v>
      </c>
      <c r="B86" s="7">
        <v>0.2</v>
      </c>
      <c r="C86" s="42">
        <v>13.817169755425279</v>
      </c>
      <c r="D86" s="42"/>
    </row>
    <row r="87" spans="1:4" x14ac:dyDescent="0.25">
      <c r="A87" s="11">
        <v>0.5</v>
      </c>
      <c r="B87" s="7">
        <v>0.3</v>
      </c>
      <c r="C87" s="42">
        <v>14.113754280529729</v>
      </c>
      <c r="D87" s="42"/>
    </row>
    <row r="88" spans="1:4" x14ac:dyDescent="0.25">
      <c r="A88" s="11">
        <v>0.5</v>
      </c>
      <c r="B88" s="7">
        <v>0.4</v>
      </c>
      <c r="C88" s="42">
        <v>14.34314834832011</v>
      </c>
      <c r="D88" s="42"/>
    </row>
    <row r="89" spans="1:4" x14ac:dyDescent="0.25">
      <c r="A89" s="11">
        <v>0.5</v>
      </c>
      <c r="B89" s="7">
        <v>0.5</v>
      </c>
      <c r="C89" s="42">
        <v>14.571258073921205</v>
      </c>
      <c r="D89" s="42"/>
    </row>
    <row r="90" spans="1:4" x14ac:dyDescent="0.25">
      <c r="A90" s="11">
        <v>0.5</v>
      </c>
      <c r="B90" s="7">
        <v>0.6</v>
      </c>
      <c r="C90" s="42">
        <v>14.62785036921824</v>
      </c>
      <c r="D90" s="42"/>
    </row>
    <row r="91" spans="1:4" x14ac:dyDescent="0.25">
      <c r="A91" s="11">
        <v>0.5</v>
      </c>
      <c r="B91" s="7">
        <v>0.7</v>
      </c>
      <c r="C91" s="42">
        <v>14.768721671025196</v>
      </c>
      <c r="D91" s="42"/>
    </row>
    <row r="92" spans="1:4" x14ac:dyDescent="0.25">
      <c r="A92" s="11">
        <v>0.5</v>
      </c>
      <c r="B92" s="7">
        <v>0.8</v>
      </c>
      <c r="C92" s="42">
        <v>15.554173198466572</v>
      </c>
      <c r="D92" s="42"/>
    </row>
    <row r="93" spans="1:4" x14ac:dyDescent="0.25">
      <c r="A93" s="11">
        <v>0.5</v>
      </c>
      <c r="B93" s="7">
        <v>0.9</v>
      </c>
      <c r="C93" s="42">
        <v>16.865723805120446</v>
      </c>
      <c r="D93" s="42"/>
    </row>
    <row r="94" spans="1:4" x14ac:dyDescent="0.25">
      <c r="A94" s="11">
        <v>0.6</v>
      </c>
      <c r="B94" s="7">
        <v>0.1</v>
      </c>
      <c r="C94" s="42">
        <v>13.597280033232995</v>
      </c>
      <c r="D94" s="42"/>
    </row>
    <row r="95" spans="1:4" x14ac:dyDescent="0.25">
      <c r="A95" s="98">
        <v>0.6</v>
      </c>
      <c r="B95" s="95">
        <v>0.2</v>
      </c>
      <c r="C95" s="96">
        <v>13.448303127570478</v>
      </c>
      <c r="D95" s="42"/>
    </row>
    <row r="96" spans="1:4" x14ac:dyDescent="0.25">
      <c r="A96" s="11">
        <v>0.6</v>
      </c>
      <c r="B96" s="7">
        <v>0.3</v>
      </c>
      <c r="C96" s="42">
        <v>13.517096748782318</v>
      </c>
      <c r="D96" s="42"/>
    </row>
    <row r="97" spans="1:4" x14ac:dyDescent="0.25">
      <c r="A97" s="11">
        <v>0.6</v>
      </c>
      <c r="B97" s="7">
        <v>0.4</v>
      </c>
      <c r="C97" s="42">
        <v>14.309242309212058</v>
      </c>
      <c r="D97" s="42"/>
    </row>
    <row r="98" spans="1:4" x14ac:dyDescent="0.25">
      <c r="A98" s="11">
        <v>0.6</v>
      </c>
      <c r="B98" s="7">
        <v>0.5</v>
      </c>
      <c r="C98" s="42">
        <v>15.003144751804168</v>
      </c>
      <c r="D98" s="42"/>
    </row>
    <row r="99" spans="1:4" x14ac:dyDescent="0.25">
      <c r="A99" s="11">
        <v>0.6</v>
      </c>
      <c r="B99" s="7">
        <v>0.6</v>
      </c>
      <c r="C99" s="42">
        <v>15.866462360036177</v>
      </c>
      <c r="D99" s="42"/>
    </row>
    <row r="100" spans="1:4" x14ac:dyDescent="0.25">
      <c r="A100" s="11">
        <v>0.6</v>
      </c>
      <c r="B100" s="7">
        <v>0.7</v>
      </c>
      <c r="C100" s="42">
        <v>16.944956847709271</v>
      </c>
      <c r="D100" s="42"/>
    </row>
    <row r="101" spans="1:4" x14ac:dyDescent="0.25">
      <c r="A101" s="11">
        <v>0.6</v>
      </c>
      <c r="B101" s="7">
        <v>0.8</v>
      </c>
      <c r="C101" s="42">
        <v>18.000649601545671</v>
      </c>
      <c r="D101" s="42"/>
    </row>
    <row r="102" spans="1:4" x14ac:dyDescent="0.25">
      <c r="A102" s="11">
        <v>0.6</v>
      </c>
      <c r="B102" s="7">
        <v>0.9</v>
      </c>
      <c r="C102" s="42">
        <v>19.023540596817906</v>
      </c>
      <c r="D102" s="42"/>
    </row>
    <row r="103" spans="1:4" x14ac:dyDescent="0.25">
      <c r="A103" s="11">
        <v>0.7</v>
      </c>
      <c r="B103" s="7">
        <v>0.1</v>
      </c>
      <c r="C103" s="42">
        <v>13.478299493475415</v>
      </c>
      <c r="D103" s="42"/>
    </row>
    <row r="104" spans="1:4" x14ac:dyDescent="0.25">
      <c r="A104" s="11">
        <v>0.7</v>
      </c>
      <c r="B104" s="7">
        <v>0.2</v>
      </c>
      <c r="C104" s="42">
        <v>13.857662605899018</v>
      </c>
      <c r="D104" s="42"/>
    </row>
    <row r="105" spans="1:4" x14ac:dyDescent="0.25">
      <c r="A105" s="11">
        <v>0.7</v>
      </c>
      <c r="B105" s="7">
        <v>0.3</v>
      </c>
      <c r="C105" s="42">
        <v>14.898872328195761</v>
      </c>
      <c r="D105" s="42"/>
    </row>
    <row r="106" spans="1:4" x14ac:dyDescent="0.25">
      <c r="A106" s="11">
        <v>0.7</v>
      </c>
      <c r="B106" s="7">
        <v>0.4</v>
      </c>
      <c r="C106" s="42">
        <v>15.779272737589844</v>
      </c>
      <c r="D106" s="42"/>
    </row>
    <row r="107" spans="1:4" x14ac:dyDescent="0.25">
      <c r="A107" s="11">
        <v>0.7</v>
      </c>
      <c r="B107" s="7">
        <v>0.5</v>
      </c>
      <c r="C107" s="42">
        <v>16.668197046557303</v>
      </c>
      <c r="D107" s="42"/>
    </row>
    <row r="108" spans="1:4" x14ac:dyDescent="0.25">
      <c r="A108" s="11">
        <v>0.7</v>
      </c>
      <c r="B108" s="7">
        <v>0.6</v>
      </c>
      <c r="C108" s="42">
        <v>17.794602179753024</v>
      </c>
      <c r="D108" s="42"/>
    </row>
    <row r="109" spans="1:4" x14ac:dyDescent="0.25">
      <c r="A109" s="11">
        <v>0.7</v>
      </c>
      <c r="B109" s="7">
        <v>0.7</v>
      </c>
      <c r="C109" s="42">
        <v>18.866958807035985</v>
      </c>
      <c r="D109" s="42"/>
    </row>
    <row r="110" spans="1:4" x14ac:dyDescent="0.25">
      <c r="A110" s="11">
        <v>0.7</v>
      </c>
      <c r="B110" s="7">
        <v>0.8</v>
      </c>
      <c r="C110" s="42">
        <v>19.867843451615432</v>
      </c>
      <c r="D110" s="42"/>
    </row>
    <row r="111" spans="1:4" x14ac:dyDescent="0.25">
      <c r="A111" s="11">
        <v>0.7</v>
      </c>
      <c r="B111" s="7">
        <v>0.9</v>
      </c>
      <c r="C111" s="42">
        <v>20.778353234851121</v>
      </c>
      <c r="D111" s="42"/>
    </row>
    <row r="112" spans="1:4" x14ac:dyDescent="0.25">
      <c r="A112" s="11">
        <v>0.8</v>
      </c>
      <c r="B112" s="7">
        <v>0.1</v>
      </c>
      <c r="C112" s="42">
        <v>14.432852647629733</v>
      </c>
      <c r="D112" s="42"/>
    </row>
    <row r="113" spans="1:4" x14ac:dyDescent="0.25">
      <c r="A113" s="11">
        <v>0.8</v>
      </c>
      <c r="B113" s="7">
        <v>0.2</v>
      </c>
      <c r="C113" s="42">
        <v>15.227158662554245</v>
      </c>
      <c r="D113" s="42"/>
    </row>
    <row r="114" spans="1:4" x14ac:dyDescent="0.25">
      <c r="A114" s="11">
        <v>0.8</v>
      </c>
      <c r="B114" s="7">
        <v>0.3</v>
      </c>
      <c r="C114" s="42">
        <v>16.31982416305204</v>
      </c>
      <c r="D114" s="42"/>
    </row>
    <row r="115" spans="1:4" x14ac:dyDescent="0.25">
      <c r="A115" s="11">
        <v>0.8</v>
      </c>
      <c r="B115" s="7">
        <v>0.4</v>
      </c>
      <c r="C115" s="42">
        <v>17.281583380756405</v>
      </c>
      <c r="D115" s="42"/>
    </row>
    <row r="116" spans="1:4" x14ac:dyDescent="0.25">
      <c r="A116" s="11">
        <v>0.8</v>
      </c>
      <c r="B116" s="7">
        <v>0.5</v>
      </c>
      <c r="C116" s="42">
        <v>18.174358313794563</v>
      </c>
      <c r="D116" s="42"/>
    </row>
    <row r="117" spans="1:4" x14ac:dyDescent="0.25">
      <c r="A117" s="11">
        <v>0.8</v>
      </c>
      <c r="B117" s="7">
        <v>0.6</v>
      </c>
      <c r="C117" s="42">
        <v>19.234099306522786</v>
      </c>
      <c r="D117" s="42"/>
    </row>
    <row r="118" spans="1:4" x14ac:dyDescent="0.25">
      <c r="A118" s="11">
        <v>0.8</v>
      </c>
      <c r="B118" s="7">
        <v>0.7</v>
      </c>
      <c r="C118" s="42">
        <v>20.202649919833913</v>
      </c>
      <c r="D118" s="42"/>
    </row>
    <row r="119" spans="1:4" x14ac:dyDescent="0.25">
      <c r="A119" s="11">
        <v>0.8</v>
      </c>
      <c r="B119" s="7">
        <v>0.8</v>
      </c>
      <c r="C119" s="42">
        <v>21.050441435674038</v>
      </c>
      <c r="D119" s="42"/>
    </row>
    <row r="120" spans="1:4" x14ac:dyDescent="0.25">
      <c r="A120" s="11">
        <v>0.8</v>
      </c>
      <c r="B120" s="7">
        <v>0.9</v>
      </c>
      <c r="C120" s="42">
        <v>21.763956391855537</v>
      </c>
      <c r="D120" s="42"/>
    </row>
    <row r="121" spans="1:4" x14ac:dyDescent="0.25">
      <c r="A121" s="11">
        <v>0.9</v>
      </c>
      <c r="B121" s="7">
        <v>0.1</v>
      </c>
      <c r="C121" s="42">
        <v>15.72135548046945</v>
      </c>
      <c r="D121" s="42"/>
    </row>
    <row r="122" spans="1:4" x14ac:dyDescent="0.25">
      <c r="A122" s="11">
        <v>0.9</v>
      </c>
      <c r="B122" s="7">
        <v>0.2</v>
      </c>
      <c r="C122" s="42">
        <v>16.576358933174241</v>
      </c>
      <c r="D122" s="42"/>
    </row>
    <row r="123" spans="1:4" x14ac:dyDescent="0.25">
      <c r="A123" s="11">
        <v>0.9</v>
      </c>
      <c r="B123" s="7">
        <v>0.3</v>
      </c>
      <c r="C123" s="42">
        <v>17.740541128785765</v>
      </c>
      <c r="D123" s="42"/>
    </row>
    <row r="124" spans="1:4" x14ac:dyDescent="0.25">
      <c r="A124" s="11">
        <v>0.9</v>
      </c>
      <c r="B124" s="7">
        <v>0.4</v>
      </c>
      <c r="C124" s="42">
        <v>18.796654665831021</v>
      </c>
      <c r="D124" s="42"/>
    </row>
    <row r="125" spans="1:4" x14ac:dyDescent="0.25">
      <c r="A125" s="11">
        <v>0.9</v>
      </c>
      <c r="B125" s="7">
        <v>0.5</v>
      </c>
      <c r="C125" s="42">
        <v>19.800300467219174</v>
      </c>
      <c r="D125" s="42"/>
    </row>
    <row r="126" spans="1:4" x14ac:dyDescent="0.25">
      <c r="A126" s="11">
        <v>0.9</v>
      </c>
      <c r="B126" s="7">
        <v>0.6</v>
      </c>
      <c r="C126" s="42">
        <v>20.786321192519363</v>
      </c>
      <c r="D126" s="42"/>
    </row>
    <row r="127" spans="1:4" x14ac:dyDescent="0.25">
      <c r="A127" s="11">
        <v>0.9</v>
      </c>
      <c r="B127" s="7">
        <v>0.7</v>
      </c>
      <c r="C127" s="42">
        <v>21.768658292115397</v>
      </c>
      <c r="D127" s="42"/>
    </row>
    <row r="128" spans="1:4" x14ac:dyDescent="0.25">
      <c r="A128" s="11">
        <v>0.9</v>
      </c>
      <c r="B128" s="7">
        <v>0.8</v>
      </c>
      <c r="C128" s="42">
        <v>22.746917568621463</v>
      </c>
      <c r="D128" s="42"/>
    </row>
    <row r="129" spans="1:4" ht="15.75" thickBot="1" x14ac:dyDescent="0.3">
      <c r="A129" s="27">
        <v>0.9</v>
      </c>
      <c r="B129" s="9">
        <v>0.9</v>
      </c>
      <c r="C129" s="43">
        <v>23.714602854803665</v>
      </c>
      <c r="D129" s="43"/>
    </row>
  </sheetData>
  <mergeCells count="3">
    <mergeCell ref="A44:B44"/>
    <mergeCell ref="A47:D47"/>
    <mergeCell ref="A22:H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rend">
                <anchor moveWithCells="1" sizeWithCells="1">
                  <from>
                    <xdr:col>5</xdr:col>
                    <xdr:colOff>885825</xdr:colOff>
                    <xdr:row>18</xdr:row>
                    <xdr:rowOff>0</xdr:rowOff>
                  </from>
                  <to>
                    <xdr:col>7</xdr:col>
                    <xdr:colOff>933450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DCA1-5250-D244-8FBA-E9338F79D9E5}">
  <dimension ref="A1:O36"/>
  <sheetViews>
    <sheetView zoomScale="89" zoomScaleNormal="89" workbookViewId="0">
      <selection activeCell="H19" sqref="H19"/>
    </sheetView>
  </sheetViews>
  <sheetFormatPr defaultColWidth="10.85546875" defaultRowHeight="15" x14ac:dyDescent="0.25"/>
  <cols>
    <col min="1" max="1" width="17.85546875" style="89" customWidth="1"/>
    <col min="2" max="3" width="11.5703125" style="89" bestFit="1" customWidth="1"/>
    <col min="4" max="4" width="11" style="89" bestFit="1" customWidth="1"/>
    <col min="5" max="5" width="17.5703125" style="89" bestFit="1" customWidth="1"/>
    <col min="6" max="6" width="29.85546875" style="89" bestFit="1" customWidth="1"/>
    <col min="7" max="7" width="12.5703125" style="89" bestFit="1" customWidth="1"/>
    <col min="8" max="8" width="33.28515625" style="89" customWidth="1"/>
    <col min="9" max="9" width="49.42578125" style="89" customWidth="1"/>
    <col min="10" max="10" width="10.85546875" style="89"/>
    <col min="11" max="11" width="22.28515625" style="89" customWidth="1"/>
    <col min="12" max="12" width="34" style="89" customWidth="1"/>
    <col min="13" max="13" width="22.28515625" style="89" customWidth="1"/>
    <col min="14" max="14" width="26.140625" style="89" customWidth="1"/>
    <col min="15" max="15" width="22.28515625" style="89" customWidth="1"/>
    <col min="16" max="16384" width="10.85546875" style="89"/>
  </cols>
  <sheetData>
    <row r="1" spans="1:15" s="111" customFormat="1" ht="15.75" thickBot="1" x14ac:dyDescent="0.3">
      <c r="A1" s="86" t="s">
        <v>0</v>
      </c>
      <c r="B1" s="84" t="s">
        <v>3</v>
      </c>
      <c r="C1" s="84" t="s">
        <v>65</v>
      </c>
      <c r="D1" s="84" t="s">
        <v>43</v>
      </c>
      <c r="E1" s="84" t="s">
        <v>66</v>
      </c>
      <c r="F1" s="84" t="s">
        <v>67</v>
      </c>
      <c r="G1" s="84" t="s">
        <v>68</v>
      </c>
      <c r="H1" s="89"/>
      <c r="I1" s="109"/>
      <c r="J1" s="89"/>
      <c r="K1" s="89"/>
      <c r="L1" s="89"/>
      <c r="M1" s="110" t="s">
        <v>68</v>
      </c>
      <c r="N1" s="111" t="s">
        <v>69</v>
      </c>
      <c r="O1" s="111" t="s">
        <v>70</v>
      </c>
    </row>
    <row r="2" spans="1:15" x14ac:dyDescent="0.25">
      <c r="A2" s="154">
        <v>1</v>
      </c>
      <c r="B2" s="155">
        <v>100</v>
      </c>
      <c r="C2" s="155" t="s">
        <v>34</v>
      </c>
      <c r="D2" s="155" t="s">
        <v>34</v>
      </c>
      <c r="E2" s="155">
        <f>B2/(AVERAGE(B$2:B$5))</f>
        <v>1.3029315960912051</v>
      </c>
      <c r="F2" s="155" t="s">
        <v>34</v>
      </c>
      <c r="G2" s="155" t="s">
        <v>34</v>
      </c>
      <c r="M2" s="112"/>
      <c r="N2" s="89" t="s">
        <v>71</v>
      </c>
      <c r="O2" s="89" t="s">
        <v>72</v>
      </c>
    </row>
    <row r="3" spans="1:15" x14ac:dyDescent="0.25">
      <c r="A3" s="154">
        <v>2</v>
      </c>
      <c r="B3" s="155">
        <v>82</v>
      </c>
      <c r="C3" s="155" t="s">
        <v>34</v>
      </c>
      <c r="D3" s="155" t="s">
        <v>34</v>
      </c>
      <c r="E3" s="155">
        <f>B3/(AVERAGE(B$2:B$5))</f>
        <v>1.0684039087947883</v>
      </c>
      <c r="F3" s="155" t="s">
        <v>34</v>
      </c>
      <c r="G3" s="155" t="s">
        <v>34</v>
      </c>
      <c r="M3" s="112"/>
      <c r="N3" s="89" t="s">
        <v>73</v>
      </c>
      <c r="O3" s="89" t="s">
        <v>74</v>
      </c>
    </row>
    <row r="4" spans="1:15" x14ac:dyDescent="0.25">
      <c r="A4" s="154">
        <v>3</v>
      </c>
      <c r="B4" s="155">
        <v>70</v>
      </c>
      <c r="C4" s="155" t="s">
        <v>34</v>
      </c>
      <c r="D4" s="155" t="s">
        <v>34</v>
      </c>
      <c r="E4" s="155">
        <f>B4/(AVERAGE(B$2:B$5))</f>
        <v>0.91205211726384361</v>
      </c>
      <c r="F4" s="155" t="s">
        <v>34</v>
      </c>
      <c r="G4" s="155" t="s">
        <v>34</v>
      </c>
      <c r="M4" s="112"/>
    </row>
    <row r="5" spans="1:15" x14ac:dyDescent="0.25">
      <c r="A5" s="154">
        <v>4</v>
      </c>
      <c r="B5" s="155">
        <v>55</v>
      </c>
      <c r="C5" s="155" t="s">
        <v>34</v>
      </c>
      <c r="D5" s="155" t="s">
        <v>34</v>
      </c>
      <c r="E5" s="155">
        <f>B5/(AVERAGE(B$2:B$5))</f>
        <v>0.71661237785016285</v>
      </c>
      <c r="F5" s="155" t="s">
        <v>34</v>
      </c>
      <c r="G5" s="155" t="s">
        <v>34</v>
      </c>
      <c r="M5" s="112"/>
    </row>
    <row r="6" spans="1:15" x14ac:dyDescent="0.25">
      <c r="A6" s="154">
        <v>5</v>
      </c>
      <c r="B6" s="155">
        <v>110</v>
      </c>
      <c r="C6" s="155">
        <f>B6/E2</f>
        <v>84.425000000000011</v>
      </c>
      <c r="D6" s="155">
        <f>SLOPE(B2:B11,A2:A11)</f>
        <v>0.69696969696969702</v>
      </c>
      <c r="E6" s="155">
        <f t="shared" ref="E6:E21" si="0">(F$28*(B6/C6))+((1-F$28)*E2)</f>
        <v>1.3029315960912051</v>
      </c>
      <c r="F6" s="155">
        <f>(C6+(1*D6))*E2</f>
        <v>110.90810383969995</v>
      </c>
      <c r="G6" s="155">
        <f>ABS(B6-F6)</f>
        <v>0.90810383969994746</v>
      </c>
      <c r="M6" s="112"/>
    </row>
    <row r="7" spans="1:15" x14ac:dyDescent="0.25">
      <c r="A7" s="154">
        <v>6</v>
      </c>
      <c r="B7" s="155">
        <v>85</v>
      </c>
      <c r="C7" s="155">
        <f t="shared" ref="C7:C21" si="1">(F$26*(B7/E3))+((1-F$26)*(C6+D6))</f>
        <v>83.289436483547959</v>
      </c>
      <c r="D7" s="155">
        <f t="shared" ref="D7:D21" si="2">(F$27*(C7-C6))+((1-F$27)*D6)</f>
        <v>-4.5825476895115236E-2</v>
      </c>
      <c r="E7" s="155">
        <f t="shared" si="0"/>
        <v>1.0218122304285029</v>
      </c>
      <c r="F7" s="155">
        <f>(C6+(1*D6))*E3</f>
        <v>90.94464514855396</v>
      </c>
      <c r="G7" s="155">
        <f>ABS(B7-F7)</f>
        <v>5.9446451485539598</v>
      </c>
      <c r="M7" s="112">
        <f t="shared" ref="M7:M21" si="3">ABS(B7-L7)</f>
        <v>85</v>
      </c>
    </row>
    <row r="8" spans="1:15" x14ac:dyDescent="0.25">
      <c r="A8" s="154">
        <v>7</v>
      </c>
      <c r="B8" s="155">
        <v>74</v>
      </c>
      <c r="C8" s="155">
        <f t="shared" si="1"/>
        <v>82.549369275697515</v>
      </c>
      <c r="D8" s="155">
        <f t="shared" si="2"/>
        <v>-0.32722796579532082</v>
      </c>
      <c r="E8" s="155">
        <f t="shared" si="0"/>
        <v>0.89684917772856809</v>
      </c>
      <c r="F8" s="155">
        <f>(C7+(1*D7))*E4</f>
        <v>75.922511667305514</v>
      </c>
      <c r="G8" s="155">
        <f t="shared" ref="G8:G21" si="4">ABS(B8-F8)</f>
        <v>1.922511667305514</v>
      </c>
      <c r="M8" s="112">
        <f t="shared" si="3"/>
        <v>74</v>
      </c>
    </row>
    <row r="9" spans="1:15" x14ac:dyDescent="0.25">
      <c r="A9" s="154">
        <v>8</v>
      </c>
      <c r="B9" s="155">
        <v>62</v>
      </c>
      <c r="C9" s="155">
        <f t="shared" si="1"/>
        <v>83.637054369491906</v>
      </c>
      <c r="D9" s="155">
        <f t="shared" si="2"/>
        <v>0.24628992976254435</v>
      </c>
      <c r="E9" s="155">
        <f t="shared" si="0"/>
        <v>0.74064085722612982</v>
      </c>
      <c r="F9" s="155">
        <f t="shared" ref="F9:F21" si="5">(C8+(1*D8))*E5</f>
        <v>58.921404196021122</v>
      </c>
      <c r="G9" s="155">
        <f t="shared" si="4"/>
        <v>3.0785958039788781</v>
      </c>
      <c r="M9" s="112">
        <f t="shared" si="3"/>
        <v>62</v>
      </c>
    </row>
    <row r="10" spans="1:15" x14ac:dyDescent="0.25">
      <c r="A10" s="154">
        <v>9</v>
      </c>
      <c r="B10" s="155">
        <v>115</v>
      </c>
      <c r="C10" s="155">
        <f t="shared" si="1"/>
        <v>85.325631581932527</v>
      </c>
      <c r="D10" s="155">
        <f t="shared" si="2"/>
        <v>0.83090363556243407</v>
      </c>
      <c r="E10" s="155">
        <f t="shared" si="0"/>
        <v>1.3465836652408505</v>
      </c>
      <c r="F10" s="155">
        <f t="shared" si="5"/>
        <v>109.29425967329568</v>
      </c>
      <c r="G10" s="155">
        <f t="shared" si="4"/>
        <v>5.7057403267043156</v>
      </c>
      <c r="M10" s="112">
        <f t="shared" si="3"/>
        <v>115</v>
      </c>
    </row>
    <row r="11" spans="1:15" x14ac:dyDescent="0.25">
      <c r="A11" s="154">
        <v>10</v>
      </c>
      <c r="B11" s="155">
        <v>88</v>
      </c>
      <c r="C11" s="155">
        <f t="shared" si="1"/>
        <v>86.144995624223753</v>
      </c>
      <c r="D11" s="155">
        <f t="shared" si="2"/>
        <v>0.82622620099948252</v>
      </c>
      <c r="E11" s="155">
        <f t="shared" si="0"/>
        <v>1.0215409349840492</v>
      </c>
      <c r="F11" s="155">
        <f t="shared" si="5"/>
        <v>88.035801416580384</v>
      </c>
      <c r="G11" s="155">
        <f t="shared" si="4"/>
        <v>3.5801416580383716E-2</v>
      </c>
      <c r="M11" s="112">
        <f t="shared" si="3"/>
        <v>88</v>
      </c>
    </row>
    <row r="12" spans="1:15" x14ac:dyDescent="0.25">
      <c r="A12" s="154">
        <v>11</v>
      </c>
      <c r="B12" s="155">
        <v>78</v>
      </c>
      <c r="C12" s="155">
        <f t="shared" si="1"/>
        <v>86.97119656692152</v>
      </c>
      <c r="D12" s="155">
        <f t="shared" si="2"/>
        <v>0.82621596285237731</v>
      </c>
      <c r="E12" s="155">
        <f t="shared" si="0"/>
        <v>0.89684866147974807</v>
      </c>
      <c r="F12" s="155">
        <f t="shared" si="5"/>
        <v>78.000068780000362</v>
      </c>
      <c r="G12" s="155">
        <f t="shared" si="4"/>
        <v>6.8780000361812199E-5</v>
      </c>
      <c r="M12" s="112">
        <f t="shared" si="3"/>
        <v>78</v>
      </c>
    </row>
    <row r="13" spans="1:15" x14ac:dyDescent="0.25">
      <c r="A13" s="154">
        <v>12</v>
      </c>
      <c r="B13" s="155">
        <v>67</v>
      </c>
      <c r="C13" s="155">
        <f t="shared" si="1"/>
        <v>88.675067197518757</v>
      </c>
      <c r="D13" s="155">
        <f t="shared" si="2"/>
        <v>1.1819626673301264</v>
      </c>
      <c r="E13" s="155">
        <f t="shared" si="0"/>
        <v>0.75517002580759363</v>
      </c>
      <c r="F13" s="155">
        <f t="shared" si="5"/>
        <v>65.026350878287886</v>
      </c>
      <c r="G13" s="155">
        <f t="shared" si="4"/>
        <v>1.9736491217121142</v>
      </c>
      <c r="M13" s="112">
        <f t="shared" si="3"/>
        <v>67</v>
      </c>
    </row>
    <row r="14" spans="1:15" x14ac:dyDescent="0.25">
      <c r="A14" s="154">
        <v>13</v>
      </c>
      <c r="B14" s="155">
        <v>121</v>
      </c>
      <c r="C14" s="155">
        <f t="shared" si="1"/>
        <v>89.857027755785197</v>
      </c>
      <c r="D14" s="155">
        <f t="shared" si="2"/>
        <v>1.1819618124466698</v>
      </c>
      <c r="E14" s="155">
        <f t="shared" si="0"/>
        <v>1.3465836025964955</v>
      </c>
      <c r="F14" s="155">
        <f t="shared" si="5"/>
        <v>121.00000862306477</v>
      </c>
      <c r="G14" s="155">
        <f t="shared" si="4"/>
        <v>8.6230647724505616E-6</v>
      </c>
      <c r="M14" s="112">
        <f t="shared" si="3"/>
        <v>121</v>
      </c>
    </row>
    <row r="15" spans="1:15" x14ac:dyDescent="0.25">
      <c r="A15" s="154">
        <v>14</v>
      </c>
      <c r="B15" s="155">
        <v>93</v>
      </c>
      <c r="C15" s="155">
        <f t="shared" si="1"/>
        <v>91.038971989416055</v>
      </c>
      <c r="D15" s="155">
        <f t="shared" si="2"/>
        <v>1.1819546870862936</v>
      </c>
      <c r="E15" s="155">
        <f t="shared" si="0"/>
        <v>1.021540544027042</v>
      </c>
      <c r="F15" s="155">
        <f t="shared" si="5"/>
        <v>93.000054523534686</v>
      </c>
      <c r="G15" s="155">
        <f t="shared" si="4"/>
        <v>5.4523534686268249E-5</v>
      </c>
      <c r="M15" s="112">
        <f t="shared" si="3"/>
        <v>93</v>
      </c>
    </row>
    <row r="16" spans="1:15" x14ac:dyDescent="0.25">
      <c r="A16" s="154">
        <v>15</v>
      </c>
      <c r="B16" s="155">
        <v>84</v>
      </c>
      <c r="C16" s="155">
        <f t="shared" si="1"/>
        <v>92.695313456634835</v>
      </c>
      <c r="D16" s="155">
        <f t="shared" si="2"/>
        <v>1.3742416307808756</v>
      </c>
      <c r="E16" s="155">
        <f t="shared" si="0"/>
        <v>0.90594580237287925</v>
      </c>
      <c r="F16" s="155">
        <f t="shared" si="5"/>
        <v>82.708214650243121</v>
      </c>
      <c r="G16" s="155">
        <f t="shared" si="4"/>
        <v>1.2917853497568785</v>
      </c>
      <c r="M16" s="112">
        <f t="shared" si="3"/>
        <v>84</v>
      </c>
    </row>
    <row r="17" spans="1:13" x14ac:dyDescent="0.25">
      <c r="A17" s="154">
        <v>16</v>
      </c>
      <c r="B17" s="155">
        <v>71</v>
      </c>
      <c r="C17" s="155">
        <f t="shared" si="1"/>
        <v>94.052760417366443</v>
      </c>
      <c r="D17" s="155">
        <f t="shared" si="2"/>
        <v>1.3674341144052491</v>
      </c>
      <c r="E17" s="155">
        <f t="shared" si="0"/>
        <v>0.7549027524747125</v>
      </c>
      <c r="F17" s="155">
        <f t="shared" si="5"/>
        <v>71.038508343072564</v>
      </c>
      <c r="G17" s="155">
        <f t="shared" si="4"/>
        <v>3.8508343072564344E-2</v>
      </c>
      <c r="M17" s="112">
        <f t="shared" si="3"/>
        <v>71</v>
      </c>
    </row>
    <row r="18" spans="1:13" x14ac:dyDescent="0.25">
      <c r="A18" s="154">
        <v>17</v>
      </c>
      <c r="B18" s="155">
        <v>128</v>
      </c>
      <c r="C18" s="155">
        <f t="shared" si="1"/>
        <v>95.300037911934282</v>
      </c>
      <c r="D18" s="155">
        <f t="shared" si="2"/>
        <v>1.3187300818292262</v>
      </c>
      <c r="E18" s="155">
        <f t="shared" si="0"/>
        <v>1.343218495371707</v>
      </c>
      <c r="F18" s="155">
        <f t="shared" si="5"/>
        <v>128.49126931305156</v>
      </c>
      <c r="G18" s="155">
        <f t="shared" si="4"/>
        <v>0.49126931305156063</v>
      </c>
      <c r="M18" s="112">
        <f t="shared" si="3"/>
        <v>128</v>
      </c>
    </row>
    <row r="19" spans="1:13" x14ac:dyDescent="0.25">
      <c r="A19" s="154">
        <v>18</v>
      </c>
      <c r="B19" s="155">
        <v>99</v>
      </c>
      <c r="C19" s="155">
        <f t="shared" si="1"/>
        <v>96.715493991686472</v>
      </c>
      <c r="D19" s="155">
        <f t="shared" si="2"/>
        <v>1.3579367952018475</v>
      </c>
      <c r="E19" s="155">
        <f t="shared" si="0"/>
        <v>1.0235654913447774</v>
      </c>
      <c r="F19" s="155">
        <f t="shared" si="5"/>
        <v>98.699988819571729</v>
      </c>
      <c r="G19" s="155">
        <f t="shared" si="4"/>
        <v>0.30001118042827102</v>
      </c>
      <c r="M19" s="112">
        <f t="shared" si="3"/>
        <v>99</v>
      </c>
    </row>
    <row r="20" spans="1:13" x14ac:dyDescent="0.25">
      <c r="A20" s="154">
        <v>19</v>
      </c>
      <c r="B20" s="155">
        <v>89</v>
      </c>
      <c r="C20" s="155">
        <f t="shared" si="1"/>
        <v>98.128248792054407</v>
      </c>
      <c r="D20" s="155">
        <f t="shared" si="2"/>
        <v>1.3801566105809291</v>
      </c>
      <c r="E20" s="155">
        <f t="shared" si="0"/>
        <v>0.90694889803473566</v>
      </c>
      <c r="F20" s="155">
        <f t="shared" si="5"/>
        <v>88.849212945688578</v>
      </c>
      <c r="G20" s="155">
        <f t="shared" si="4"/>
        <v>0.15078705431142225</v>
      </c>
      <c r="M20" s="112">
        <f t="shared" si="3"/>
        <v>89</v>
      </c>
    </row>
    <row r="21" spans="1:13" ht="15.75" thickBot="1" x14ac:dyDescent="0.3">
      <c r="A21" s="154">
        <v>20</v>
      </c>
      <c r="B21" s="155">
        <v>77</v>
      </c>
      <c r="C21" s="155">
        <f t="shared" si="1"/>
        <v>100.32898388044143</v>
      </c>
      <c r="D21" s="155">
        <f t="shared" si="2"/>
        <v>1.7127681717943739</v>
      </c>
      <c r="E21" s="155">
        <f t="shared" si="0"/>
        <v>0.7671403361198873</v>
      </c>
      <c r="F21" s="155">
        <f t="shared" si="5"/>
        <v>75.119169132818968</v>
      </c>
      <c r="G21" s="155">
        <f t="shared" si="4"/>
        <v>1.8808308671810323</v>
      </c>
      <c r="M21" s="112">
        <f t="shared" si="3"/>
        <v>77</v>
      </c>
    </row>
    <row r="22" spans="1:13" ht="15.75" thickBot="1" x14ac:dyDescent="0.3">
      <c r="A22" s="306" t="s">
        <v>91</v>
      </c>
      <c r="B22" s="307"/>
      <c r="C22" s="149"/>
      <c r="D22" s="150"/>
      <c r="E22" s="150"/>
      <c r="F22" s="151"/>
      <c r="G22" s="156">
        <f>AVERAGE(G7:G10)</f>
        <v>4.1628732366356669</v>
      </c>
      <c r="M22" s="112"/>
    </row>
    <row r="23" spans="1:13" ht="15.75" thickBot="1" x14ac:dyDescent="0.3">
      <c r="A23" s="306" t="s">
        <v>92</v>
      </c>
      <c r="B23" s="307"/>
      <c r="C23" s="152"/>
      <c r="D23" s="152"/>
      <c r="E23" s="152"/>
      <c r="F23" s="152"/>
      <c r="G23" s="157">
        <f>AVERAGE(G12:G21)</f>
        <v>0.61269731561136642</v>
      </c>
      <c r="M23" s="112"/>
    </row>
    <row r="24" spans="1:13" ht="15.75" thickBot="1" x14ac:dyDescent="0.3">
      <c r="A24" s="306" t="s">
        <v>86</v>
      </c>
      <c r="B24" s="307"/>
      <c r="C24" s="153"/>
      <c r="D24" s="153"/>
      <c r="E24" s="153"/>
      <c r="F24" s="153"/>
      <c r="G24" s="158">
        <f>AVERAGE(G6:G21)</f>
        <v>1.4826482099335414</v>
      </c>
      <c r="M24" s="112"/>
    </row>
    <row r="25" spans="1:13" ht="15.75" thickBot="1" x14ac:dyDescent="0.3">
      <c r="A25" s="24"/>
      <c r="B25" s="24"/>
      <c r="C25" s="24"/>
      <c r="D25" s="24"/>
      <c r="E25" s="24"/>
      <c r="F25" s="24"/>
      <c r="M25" s="112"/>
    </row>
    <row r="26" spans="1:13" ht="15.75" thickBot="1" x14ac:dyDescent="0.3">
      <c r="A26" s="86" t="s">
        <v>94</v>
      </c>
      <c r="B26" s="84" t="s">
        <v>42</v>
      </c>
      <c r="C26" s="24"/>
      <c r="D26" s="24"/>
      <c r="E26" s="143" t="s">
        <v>45</v>
      </c>
      <c r="F26" s="140">
        <v>0.32935282078062</v>
      </c>
      <c r="M26" s="112"/>
    </row>
    <row r="27" spans="1:13" x14ac:dyDescent="0.25">
      <c r="A27" s="114">
        <v>21</v>
      </c>
      <c r="B27" s="146">
        <f>(C$21+D$21)*E18</f>
        <v>137.06436865669698</v>
      </c>
      <c r="E27" s="144" t="s">
        <v>46</v>
      </c>
      <c r="F27" s="141">
        <v>0.40533790516017315</v>
      </c>
      <c r="M27" s="112"/>
    </row>
    <row r="28" spans="1:13" ht="15.75" thickBot="1" x14ac:dyDescent="0.3">
      <c r="A28" s="115">
        <v>22</v>
      </c>
      <c r="B28" s="147">
        <f>(C$21+D$21)*E19</f>
        <v>104.44641607702869</v>
      </c>
      <c r="E28" s="145" t="s">
        <v>48</v>
      </c>
      <c r="F28" s="142">
        <v>0.97337063738651075</v>
      </c>
      <c r="M28" s="112"/>
    </row>
    <row r="29" spans="1:13" x14ac:dyDescent="0.25">
      <c r="A29" s="115">
        <v>23</v>
      </c>
      <c r="B29" s="147">
        <f>(C$21+D$21)*E20</f>
        <v>92.546654577308985</v>
      </c>
      <c r="M29" s="113"/>
    </row>
    <row r="30" spans="1:13" x14ac:dyDescent="0.25">
      <c r="A30" s="115">
        <v>24</v>
      </c>
      <c r="B30" s="147">
        <f>(C$21+D$21)*E21</f>
        <v>78.280343967614371</v>
      </c>
    </row>
    <row r="31" spans="1:13" ht="15.75" thickBot="1" x14ac:dyDescent="0.3">
      <c r="A31" s="116">
        <v>25</v>
      </c>
      <c r="B31" s="148">
        <f>(C$21+D$21)*E18</f>
        <v>137.06436865669698</v>
      </c>
    </row>
    <row r="35" spans="13:13" x14ac:dyDescent="0.25">
      <c r="M35" s="89">
        <f>AVERAGE(M7:M11)</f>
        <v>84.8</v>
      </c>
    </row>
    <row r="36" spans="13:13" x14ac:dyDescent="0.25">
      <c r="M36" s="89">
        <f>AVERAGE(M12:M21)</f>
        <v>90.7</v>
      </c>
    </row>
  </sheetData>
  <mergeCells count="3">
    <mergeCell ref="A22:B22"/>
    <mergeCell ref="A23:B23"/>
    <mergeCell ref="A24:B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Forecast Summary</vt:lpstr>
      <vt:lpstr>Cap Planning</vt:lpstr>
      <vt:lpstr>Time per unit</vt:lpstr>
      <vt:lpstr>MRP</vt:lpstr>
      <vt:lpstr>MPS</vt:lpstr>
      <vt:lpstr>Agg Plan Summary</vt:lpstr>
      <vt:lpstr>Agg Plan P1</vt:lpstr>
      <vt:lpstr>Agg Plan P2</vt:lpstr>
      <vt:lpstr>Agg Plan P3</vt:lpstr>
      <vt:lpstr>Agg Plan P4</vt:lpstr>
      <vt:lpstr>Agg Plan P5</vt:lpstr>
      <vt:lpstr>Forecast P1</vt:lpstr>
      <vt:lpstr>Forecast P1 - Trend</vt:lpstr>
      <vt:lpstr>Forecast P2</vt:lpstr>
      <vt:lpstr>Forecast P2 - Trend</vt:lpstr>
      <vt:lpstr>Forecast P2 - Seasonality</vt:lpstr>
      <vt:lpstr>Forecast P2 - Seasonality Trend</vt:lpstr>
      <vt:lpstr>Forecast P3</vt:lpstr>
      <vt:lpstr>Forecast P3 - Trend</vt:lpstr>
      <vt:lpstr>Forecast P3 - Seasonality</vt:lpstr>
      <vt:lpstr>Forecast P3 - Seasonality Trend</vt:lpstr>
      <vt:lpstr>Forecast P4</vt:lpstr>
      <vt:lpstr>Gaussian random walk P4</vt:lpstr>
      <vt:lpstr>Forecast P5</vt:lpstr>
      <vt:lpstr>Forecast P5 - Trend</vt:lpstr>
      <vt:lpstr>Holt Winters 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Mehak Sanghi</dc:creator>
  <cp:lastModifiedBy>Mehak Sanghi</cp:lastModifiedBy>
  <dcterms:created xsi:type="dcterms:W3CDTF">2019-09-23T18:08:58Z</dcterms:created>
  <dcterms:modified xsi:type="dcterms:W3CDTF">2019-12-07T00:17:35Z</dcterms:modified>
</cp:coreProperties>
</file>